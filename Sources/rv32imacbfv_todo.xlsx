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Özet" sheetId="1" state="visible" r:id="rId3"/>
    <sheet name="Görevler" sheetId="2" state="visible" r:id="rId4"/>
  </sheets>
  <definedNames>
    <definedName function="false" hidden="true" localSheetId="1" name="_xlnm._FilterDatabase" vbProcedure="false">Görevler!$A$1:$J$116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<sst xmlns="http://schemas.openxmlformats.org/spreadsheetml/2006/main" count="1093" uniqueCount="432">
  <si>
    <t xml:space="preserve">RV32IMACBFV — Proje TODO ve İlerleme</t>
  </si>
  <si>
    <t xml:space="preserve">Genel Özet</t>
  </si>
  <si>
    <t xml:space="preserve">Toplam görev</t>
  </si>
  <si>
    <t xml:space="preserve">Tamamlandı</t>
  </si>
  <si>
    <t xml:space="preserve">Devam Ediyor</t>
  </si>
  <si>
    <t xml:space="preserve">Yapılacak</t>
  </si>
  <si>
    <t xml:space="preserve">Bloke</t>
  </si>
  <si>
    <t xml:space="preserve">İlerleme %</t>
  </si>
  <si>
    <t xml:space="preserve">Faz Bazında İlerleme</t>
  </si>
  <si>
    <t xml:space="preserve">Faz</t>
  </si>
  <si>
    <t xml:space="preserve">Toplam</t>
  </si>
  <si>
    <t xml:space="preserve">Faz 0</t>
  </si>
  <si>
    <t xml:space="preserve">Faz 1</t>
  </si>
  <si>
    <t xml:space="preserve">Faz 2</t>
  </si>
  <si>
    <t xml:space="preserve">Faz 3</t>
  </si>
  <si>
    <t xml:space="preserve">Faz 4</t>
  </si>
  <si>
    <t xml:space="preserve">Faz 5</t>
  </si>
  <si>
    <t xml:space="preserve">Faz 6</t>
  </si>
  <si>
    <t xml:space="preserve">Faz 7</t>
  </si>
  <si>
    <t xml:space="preserve">Faz 8</t>
  </si>
  <si>
    <t xml:space="preserve">Faz 9</t>
  </si>
  <si>
    <t xml:space="preserve">Track-F</t>
  </si>
  <si>
    <t xml:space="preserve">Track-P</t>
  </si>
  <si>
    <t xml:space="preserve">İleri Mimari</t>
  </si>
  <si>
    <t xml:space="preserve">Lejant ve Kullanım</t>
  </si>
  <si>
    <t xml:space="preserve">• Durum: Yapılacak → Devam Ediyor → Tamamlandı  (Bloke = engellenmiş)</t>
  </si>
  <si>
    <t xml:space="preserve">• Öncelik: Kritik &gt; Yüksek &gt; Orta &gt; Düşük &gt; Opsiyonel</t>
  </si>
  <si>
    <t xml:space="preserve">• Efor: S (küçük) · M (orta) · L (büyük) · XL (devasa)</t>
  </si>
  <si>
    <t xml:space="preserve">• Düzenlenecek sütunlar: Durum (H), Öncelik (G), Efor (F), Not (J). Diğerlerini değiştirme.</t>
  </si>
  <si>
    <t xml:space="preserve">• Görevler sekmesinde Durum/Öncelik/Efor hücrelerinde açılır menü var; renkler otomatik güncellenir.</t>
  </si>
  <si>
    <t xml:space="preserve">• Bu özet sayfası formüllüdür: Görevler'de durum değiştikçe sayılar ve yüzdeler kendiliğinden güncellenir.</t>
  </si>
  <si>
    <t xml:space="preserve">ID</t>
  </si>
  <si>
    <t xml:space="preserve">Kategori</t>
  </si>
  <si>
    <t xml:space="preserve">Görev</t>
  </si>
  <si>
    <t xml:space="preserve">Açıklama / Çıktı</t>
  </si>
  <si>
    <t xml:space="preserve">Efor</t>
  </si>
  <si>
    <t xml:space="preserve">Öncelik</t>
  </si>
  <si>
    <t xml:space="preserve">Durum</t>
  </si>
  <si>
    <t xml:space="preserve">Bağımlılık</t>
  </si>
  <si>
    <t xml:space="preserve">Not</t>
  </si>
  <si>
    <t xml:space="preserve">T001</t>
  </si>
  <si>
    <t xml:space="preserve">Altyapı</t>
  </si>
  <si>
    <t xml:space="preserve">HDL seçimi: SystemVerilog</t>
  </si>
  <si>
    <t xml:space="preserve">ASIC araç desteği + paket/interface kolaylığı</t>
  </si>
  <si>
    <t xml:space="preserve">S</t>
  </si>
  <si>
    <t xml:space="preserve">Kritik</t>
  </si>
  <si>
    <t xml:space="preserve">-</t>
  </si>
  <si>
    <t xml:space="preserve">Karar verildi</t>
  </si>
  <si>
    <t xml:space="preserve">T002</t>
  </si>
  <si>
    <t xml:space="preserve">Başlangıç mikromimari kararı (M0→M2)</t>
  </si>
  <si>
    <t xml:space="preserve">Önce single-cycle, sonra 5-stage</t>
  </si>
  <si>
    <t xml:space="preserve">T003</t>
  </si>
  <si>
    <t xml:space="preserve">Repo / dizin yapısı</t>
  </si>
  <si>
    <t xml:space="preserve">rtl/tb/verif/syn/sw/flist…</t>
  </si>
  <si>
    <t xml:space="preserve">Yerel olarak kuruldu</t>
  </si>
  <si>
    <t xml:space="preserve">T004</t>
  </si>
  <si>
    <t xml:space="preserve">Tasarım</t>
  </si>
  <si>
    <t xml:space="preserve">riscv_pkg.sv (opcode/funct/enum)</t>
  </si>
  <si>
    <t xml:space="preserve">Ortak ISA sözlüğü</t>
  </si>
  <si>
    <t xml:space="preserve">İskeleti hazır, tamamlanacak</t>
  </si>
  <si>
    <t xml:space="preserve">T005</t>
  </si>
  <si>
    <t xml:space="preserve">core_config_pkg.sv (feature toggles)</t>
  </si>
  <si>
    <t xml:space="preserve">M_EN/F_EN/V_EN, XLEN, reset addr</t>
  </si>
  <si>
    <t xml:space="preserve">İskeleti hazır</t>
  </si>
  <si>
    <t xml:space="preserve">T006</t>
  </si>
  <si>
    <t xml:space="preserve">RISC-V GCC/LLVM toolchain</t>
  </si>
  <si>
    <t xml:space="preserve">Test programı derleme</t>
  </si>
  <si>
    <t xml:space="preserve">T007</t>
  </si>
  <si>
    <t xml:space="preserve">Verilator kurulumu</t>
  </si>
  <si>
    <t xml:space="preserve">Hızlı simülasyon</t>
  </si>
  <si>
    <t xml:space="preserve">T008</t>
  </si>
  <si>
    <t xml:space="preserve">Spike (golden model) kurulumu</t>
  </si>
  <si>
    <t xml:space="preserve">Referans ISA simülatörü</t>
  </si>
  <si>
    <t xml:space="preserve">T009</t>
  </si>
  <si>
    <t xml:space="preserve">Doğrulama</t>
  </si>
  <si>
    <t xml:space="preserve">Spike lockstep co-sim harness</t>
  </si>
  <si>
    <t xml:space="preserve">RTL↔Spike durum karşılaştırma</t>
  </si>
  <si>
    <t xml:space="preserve">M</t>
  </si>
  <si>
    <t xml:space="preserve">T007,T008</t>
  </si>
  <si>
    <t xml:space="preserve">Doğrulamanın bel kemiği</t>
  </si>
  <si>
    <t xml:space="preserve">T010</t>
  </si>
  <si>
    <t xml:space="preserve">Lint (Verible/Verilator)</t>
  </si>
  <si>
    <t xml:space="preserve">Sentez öncesi hata yakalama</t>
  </si>
  <si>
    <t xml:space="preserve">Yüksek</t>
  </si>
  <si>
    <t xml:space="preserve">T011</t>
  </si>
  <si>
    <t xml:space="preserve">Formal (SymbiYosys) kurulumu</t>
  </si>
  <si>
    <t xml:space="preserve">Property tabanlı doğrulama</t>
  </si>
  <si>
    <t xml:space="preserve">Orta</t>
  </si>
  <si>
    <t xml:space="preserve">T012</t>
  </si>
  <si>
    <t xml:space="preserve">CI pipeline</t>
  </si>
  <si>
    <t xml:space="preserve">commit: lint+unit+smoke; nightly: full</t>
  </si>
  <si>
    <t xml:space="preserve">T007,T008,T010</t>
  </si>
  <si>
    <t xml:space="preserve">T013</t>
  </si>
  <si>
    <t xml:space="preserve">PC + PC-adder</t>
  </si>
  <si>
    <t xml:space="preserve">Sonraki komut adresi</t>
  </si>
  <si>
    <t xml:space="preserve">M0 single-cycle</t>
  </si>
  <si>
    <t xml:space="preserve">T014</t>
  </si>
  <si>
    <t xml:space="preserve">Instruction memory arayüzü</t>
  </si>
  <si>
    <t xml:space="preserve">Komut çekme</t>
  </si>
  <si>
    <t xml:space="preserve">T015</t>
  </si>
  <si>
    <t xml:space="preserve">Register file (x0=0, 2R/1W)</t>
  </si>
  <si>
    <t xml:space="preserve">Mimari register'lar</t>
  </si>
  <si>
    <t xml:space="preserve">T016</t>
  </si>
  <si>
    <t xml:space="preserve">Immediate generator (I/S/B/U/J)</t>
  </si>
  <si>
    <t xml:space="preserve">Immediate çıkarımı</t>
  </si>
  <si>
    <t xml:space="preserve">T017</t>
  </si>
  <si>
    <t xml:space="preserve">ALU (behavioral + ilk, ölç)</t>
  </si>
  <si>
    <t xml:space="preserve">Aritmetik/mantık; toplayıcıyı ölç-optimize</t>
  </si>
  <si>
    <t xml:space="preserve">Önce +, gerekirse Kogge-Stone vs.</t>
  </si>
  <si>
    <t xml:space="preserve">T018</t>
  </si>
  <si>
    <t xml:space="preserve">ALU control</t>
  </si>
  <si>
    <t xml:space="preserve">funct → ALU op</t>
  </si>
  <si>
    <t xml:space="preserve">T019</t>
  </si>
  <si>
    <t xml:space="preserve">Data memory arayüzü</t>
  </si>
  <si>
    <t xml:space="preserve">Load/store</t>
  </si>
  <si>
    <t xml:space="preserve">T020</t>
  </si>
  <si>
    <t xml:space="preserve">Control/decode (kombinasyonel)</t>
  </si>
  <si>
    <t xml:space="preserve">opcode → kontrol sinyalleri</t>
  </si>
  <si>
    <t xml:space="preserve">T021</t>
  </si>
  <si>
    <t xml:space="preserve">Datapath mux'lar + next-PC</t>
  </si>
  <si>
    <t xml:space="preserve">ALU src, WB src, PC seçimi</t>
  </si>
  <si>
    <t xml:space="preserve">T022</t>
  </si>
  <si>
    <t xml:space="preserve">M0 single-cycle RV32I bring-up</t>
  </si>
  <si>
    <t xml:space="preserve">İlk çalışan çekirdek</t>
  </si>
  <si>
    <t xml:space="preserve">T013,T015,T017,T020</t>
  </si>
  <si>
    <t xml:space="preserve">En basit ilk milestone</t>
  </si>
  <si>
    <t xml:space="preserve">T023</t>
  </si>
  <si>
    <t xml:space="preserve">csr.sv: 12-bit adres decode + izin</t>
  </si>
  <si>
    <t xml:space="preserve">CSR motoru iskeleti</t>
  </si>
  <si>
    <t xml:space="preserve">CSR temel çekirdeğin parçası</t>
  </si>
  <si>
    <t xml:space="preserve">T024</t>
  </si>
  <si>
    <t xml:space="preserve">CSR atomik oku/yaz/set/clear</t>
  </si>
  <si>
    <t xml:space="preserve">CSRRW/S/C + immediate</t>
  </si>
  <si>
    <t xml:space="preserve">T025</t>
  </si>
  <si>
    <t xml:space="preserve">Temel CSR'lar (misa, mhartid, id'ler)</t>
  </si>
  <si>
    <t xml:space="preserve">Makine bilgisi; misa = uzantı ilanı</t>
  </si>
  <si>
    <t xml:space="preserve">IMACBFV bitlerini burada bildir</t>
  </si>
  <si>
    <t xml:space="preserve">T026</t>
  </si>
  <si>
    <t xml:space="preserve">Sayaç CSR'ları (mcycle/minstret +h)</t>
  </si>
  <si>
    <t xml:space="preserve">64-bit sayaç iki register</t>
  </si>
  <si>
    <t xml:space="preserve">T027</t>
  </si>
  <si>
    <t xml:space="preserve">illegal-CSR sinyali</t>
  </si>
  <si>
    <t xml:space="preserve">Trap Faz 2'de tamamlanır</t>
  </si>
  <si>
    <t xml:space="preserve">Bootstrapping</t>
  </si>
  <si>
    <t xml:space="preserve">T028</t>
  </si>
  <si>
    <t xml:space="preserve">CSR RAW hazard</t>
  </si>
  <si>
    <t xml:space="preserve">CSR yaz → oku bağımlılığı</t>
  </si>
  <si>
    <t xml:space="preserve">T024,T029</t>
  </si>
  <si>
    <t xml:space="preserve">T029</t>
  </si>
  <si>
    <t xml:space="preserve">Pipeline register'lar (4 adet)</t>
  </si>
  <si>
    <t xml:space="preserve">IF/ID … MEM/WB</t>
  </si>
  <si>
    <t xml:space="preserve">M2 5-stage</t>
  </si>
  <si>
    <t xml:space="preserve">T030</t>
  </si>
  <si>
    <t xml:space="preserve">Hazard detection unit</t>
  </si>
  <si>
    <t xml:space="preserve">Tehlike tespiti / stall</t>
  </si>
  <si>
    <t xml:space="preserve">T031</t>
  </si>
  <si>
    <t xml:space="preserve">Forwarding/bypass unit</t>
  </si>
  <si>
    <t xml:space="preserve">Sonucu EX'e geri yönlendir</t>
  </si>
  <si>
    <t xml:space="preserve">T032</t>
  </si>
  <si>
    <t xml:space="preserve">Stall/flush logic</t>
  </si>
  <si>
    <t xml:space="preserve">Bubble + branch flush</t>
  </si>
  <si>
    <t xml:space="preserve">T029,T030</t>
  </si>
  <si>
    <t xml:space="preserve">T033</t>
  </si>
  <si>
    <t xml:space="preserve">Branch resolution + flush</t>
  </si>
  <si>
    <t xml:space="preserve">EX'te çöz, yanlışı temizle</t>
  </si>
  <si>
    <t xml:space="preserve">T034</t>
  </si>
  <si>
    <t xml:space="preserve">Basit branch predictor (ops.)</t>
  </si>
  <si>
    <t xml:space="preserve">Statik / BHT</t>
  </si>
  <si>
    <t xml:space="preserve">Düşük</t>
  </si>
  <si>
    <t xml:space="preserve">Opsiyonel v1</t>
  </si>
  <si>
    <t xml:space="preserve">T035</t>
  </si>
  <si>
    <t xml:space="preserve">Directed asm testleri</t>
  </si>
  <si>
    <t xml:space="preserve">Elle basit programlar</t>
  </si>
  <si>
    <t xml:space="preserve">T036</t>
  </si>
  <si>
    <t xml:space="preserve">riscv-arch-test (I + Zicsr)</t>
  </si>
  <si>
    <t xml:space="preserve">Uyumluluk</t>
  </si>
  <si>
    <t xml:space="preserve">T022,T024</t>
  </si>
  <si>
    <t xml:space="preserve">T037</t>
  </si>
  <si>
    <t xml:space="preserve">Spike co-sim (RV32I+Zicsr)</t>
  </si>
  <si>
    <t xml:space="preserve">Lockstep karşılaştırma</t>
  </si>
  <si>
    <t xml:space="preserve">T009,T022</t>
  </si>
  <si>
    <t xml:space="preserve">T038</t>
  </si>
  <si>
    <t xml:space="preserve">riscv-dv random</t>
  </si>
  <si>
    <t xml:space="preserve">Rastgele program</t>
  </si>
  <si>
    <t xml:space="preserve">T039</t>
  </si>
  <si>
    <t xml:space="preserve">Trap CSR'ları (mstatus/mtvec/…)</t>
  </si>
  <si>
    <t xml:space="preserve">Mevcut motora eklenir</t>
  </si>
  <si>
    <t xml:space="preserve">T040</t>
  </si>
  <si>
    <t xml:space="preserve">Exception mantığı</t>
  </si>
  <si>
    <t xml:space="preserve">Illegal/misaligned/ecall/ebreak</t>
  </si>
  <si>
    <t xml:space="preserve">T039,T027</t>
  </si>
  <si>
    <t xml:space="preserve">T041</t>
  </si>
  <si>
    <t xml:space="preserve">Interrupt mantığı</t>
  </si>
  <si>
    <t xml:space="preserve">Timer/software/external</t>
  </si>
  <si>
    <t xml:space="preserve">T042</t>
  </si>
  <si>
    <t xml:space="preserve">CLINT (timer + sw interrupt)</t>
  </si>
  <si>
    <t xml:space="preserve">İlk çevre birimi</t>
  </si>
  <si>
    <t xml:space="preserve">T043</t>
  </si>
  <si>
    <t xml:space="preserve">mret / wfi</t>
  </si>
  <si>
    <t xml:space="preserve">Trap dönüşü / bekleme</t>
  </si>
  <si>
    <t xml:space="preserve">T044</t>
  </si>
  <si>
    <t xml:space="preserve">illegal-CSR trap tamamlama</t>
  </si>
  <si>
    <t xml:space="preserve">Faz 1 sinyalini trap'e bağla</t>
  </si>
  <si>
    <t xml:space="preserve">T027,T040</t>
  </si>
  <si>
    <t xml:space="preserve">T045</t>
  </si>
  <si>
    <t xml:space="preserve">Doğrulama: privileged + trap testleri</t>
  </si>
  <si>
    <t xml:space="preserve">arch-test + co-sim</t>
  </si>
  <si>
    <t xml:space="preserve">T037,T039</t>
  </si>
  <si>
    <t xml:space="preserve">T046</t>
  </si>
  <si>
    <t xml:space="preserve">Çarpıcı (behavioral *, retiming)</t>
  </si>
  <si>
    <t xml:space="preserve">FPGA→DSP, ASIC→Booth-Wallace</t>
  </si>
  <si>
    <t xml:space="preserve">Strateji belirlendi</t>
  </si>
  <si>
    <t xml:space="preserve">T047</t>
  </si>
  <si>
    <t xml:space="preserve">MUL/MULH/MULHU/MULHSU</t>
  </si>
  <si>
    <t xml:space="preserve">33-bit işaret genişletme hilesi</t>
  </si>
  <si>
    <t xml:space="preserve">T048</t>
  </si>
  <si>
    <t xml:space="preserve">Bölücü div_r4 (radix-4)</t>
  </si>
  <si>
    <t xml:space="preserve">DIV/DIVU/REM/REMU + özel durumlar</t>
  </si>
  <si>
    <t xml:space="preserve">L</t>
  </si>
  <si>
    <t xml:space="preserve">20.022 testte doğrulandı</t>
  </si>
  <si>
    <t xml:space="preserve">T049</t>
  </si>
  <si>
    <t xml:space="preserve">Bölücü Aşama 2: carry-save SRT + QST</t>
  </si>
  <si>
    <t xml:space="preserve">Cycle süresini kısaltır</t>
  </si>
  <si>
    <t xml:space="preserve">Opsiyonel</t>
  </si>
  <si>
    <t xml:space="preserve">Opsiyonel performans</t>
  </si>
  <si>
    <t xml:space="preserve">T050</t>
  </si>
  <si>
    <t xml:space="preserve">muldiv_unit + EX entegrasyonu</t>
  </si>
  <si>
    <t xml:space="preserve">Çarpıcı + bölücü birleştir</t>
  </si>
  <si>
    <t xml:space="preserve">T046,T048</t>
  </si>
  <si>
    <t xml:space="preserve">T051</t>
  </si>
  <si>
    <t xml:space="preserve">Fusion (MULH+MUL, DIV+REM)</t>
  </si>
  <si>
    <t xml:space="preserve">Ardışık çifti tek geçişe indir</t>
  </si>
  <si>
    <t xml:space="preserve">T052</t>
  </si>
  <si>
    <t xml:space="preserve">Doğrulama M: arch-test + co-sim</t>
  </si>
  <si>
    <t xml:space="preserve">T053</t>
  </si>
  <si>
    <t xml:space="preserve">Decompressor (16→32-bit)</t>
  </si>
  <si>
    <t xml:space="preserve">C uzantısı</t>
  </si>
  <si>
    <t xml:space="preserve">is_compressed helper hazır</t>
  </si>
  <si>
    <t xml:space="preserve">T054</t>
  </si>
  <si>
    <t xml:space="preserve">Fetch hizalama (IALIGN=16)</t>
  </si>
  <si>
    <t xml:space="preserve">Sınır aşan 32-bit komut</t>
  </si>
  <si>
    <t xml:space="preserve">T055</t>
  </si>
  <si>
    <t xml:space="preserve">Doğrulama C: arch-test + kod boyutu</t>
  </si>
  <si>
    <t xml:space="preserve">T056</t>
  </si>
  <si>
    <t xml:space="preserve">B: Zba (sh1add/sh2add/sh3add)</t>
  </si>
  <si>
    <t xml:space="preserve">Adres üretimi</t>
  </si>
  <si>
    <t xml:space="preserve">T057</t>
  </si>
  <si>
    <t xml:space="preserve">B: Zbb (clz/ctz/cpop/min/max/rotate)</t>
  </si>
  <si>
    <t xml:space="preserve">Temel bitmanip</t>
  </si>
  <si>
    <t xml:space="preserve">T058</t>
  </si>
  <si>
    <t xml:space="preserve">B: Zbc (clmul)</t>
  </si>
  <si>
    <t xml:space="preserve">Carryless multiply</t>
  </si>
  <si>
    <t xml:space="preserve">T059</t>
  </si>
  <si>
    <t xml:space="preserve">B: Zbs (bset/bclr/binv/bext)</t>
  </si>
  <si>
    <t xml:space="preserve">Tek-bit işlemler</t>
  </si>
  <si>
    <t xml:space="preserve">T060</t>
  </si>
  <si>
    <t xml:space="preserve">Doğrulama B: arch-test (alt-uzantılar)</t>
  </si>
  <si>
    <t xml:space="preserve">T056,T057,T058,T059</t>
  </si>
  <si>
    <t xml:space="preserve">T061</t>
  </si>
  <si>
    <t xml:space="preserve">LR/SC + reservation set</t>
  </si>
  <si>
    <t xml:space="preserve">Load-reserved/store-conditional</t>
  </si>
  <si>
    <t xml:space="preserve">T064</t>
  </si>
  <si>
    <t xml:space="preserve">T062</t>
  </si>
  <si>
    <t xml:space="preserve">AMO (amoadd/amoswap/…)</t>
  </si>
  <si>
    <t xml:space="preserve">Read-modify-write</t>
  </si>
  <si>
    <t xml:space="preserve">T063</t>
  </si>
  <si>
    <t xml:space="preserve">Bellek sıralaması + fence/fence.i</t>
  </si>
  <si>
    <t xml:space="preserve">RVWMO</t>
  </si>
  <si>
    <t xml:space="preserve">Gerçek bus protokolü tanımı</t>
  </si>
  <si>
    <t xml:space="preserve">Sihirli belleği bırak</t>
  </si>
  <si>
    <t xml:space="preserve">Faz 8'de genişler</t>
  </si>
  <si>
    <t xml:space="preserve">T065</t>
  </si>
  <si>
    <t xml:space="preserve">Doğrulama A: arch-test + co-sim</t>
  </si>
  <si>
    <t xml:space="preserve">T061,T062</t>
  </si>
  <si>
    <t xml:space="preserve">T066</t>
  </si>
  <si>
    <t xml:space="preserve">FP register file (f0–f31)</t>
  </si>
  <si>
    <t xml:space="preserve">Ayrı kayan register dosyası</t>
  </si>
  <si>
    <t xml:space="preserve">T067</t>
  </si>
  <si>
    <t xml:space="preserve">fcsr/frm/fflags (CSR motoruna ekle)</t>
  </si>
  <si>
    <t xml:space="preserve">Yeni motor değil</t>
  </si>
  <si>
    <t xml:space="preserve">T068</t>
  </si>
  <si>
    <t xml:space="preserve">FPU: add/sub, mul</t>
  </si>
  <si>
    <t xml:space="preserve">Temel işlemler</t>
  </si>
  <si>
    <t xml:space="preserve">T069</t>
  </si>
  <si>
    <t xml:space="preserve">FPU: div/sqrt</t>
  </si>
  <si>
    <t xml:space="preserve">Multiplicative veya digit-recurrence</t>
  </si>
  <si>
    <t xml:space="preserve">T070</t>
  </si>
  <si>
    <t xml:space="preserve">FMA (FMADD/FMSUB/FNMADD/FNMSUB)</t>
  </si>
  <si>
    <t xml:space="preserve">R4-type</t>
  </si>
  <si>
    <t xml:space="preserve">T071</t>
  </si>
  <si>
    <t xml:space="preserve">FPU: cmp/min/max/FCLASS/convert/FSGNJ</t>
  </si>
  <si>
    <t xml:space="preserve">Yardımcı işlemler</t>
  </si>
  <si>
    <t xml:space="preserve">T072</t>
  </si>
  <si>
    <t xml:space="preserve">IEEE-754 köşe durumları</t>
  </si>
  <si>
    <t xml:space="preserve">Subnormal/NaN/rounding/flags</t>
  </si>
  <si>
    <t xml:space="preserve">En zor doğrulama</t>
  </si>
  <si>
    <t xml:space="preserve">T073</t>
  </si>
  <si>
    <t xml:space="preserve">Karar: FPnew/CVFPU reuse mu?</t>
  </si>
  <si>
    <t xml:space="preserve">Sıfırdan yazmak devasa</t>
  </si>
  <si>
    <t xml:space="preserve">Reuse önerilir</t>
  </si>
  <si>
    <t xml:space="preserve">T074</t>
  </si>
  <si>
    <t xml:space="preserve">FP load/store (flw/fsw) + C sıkıştırılmış</t>
  </si>
  <si>
    <t xml:space="preserve">T075</t>
  </si>
  <si>
    <t xml:space="preserve">Doğrulama F: SoftFloat/TestFloat</t>
  </si>
  <si>
    <t xml:space="preserve">Differential + köşe fuzz</t>
  </si>
  <si>
    <t xml:space="preserve">Spike tek başına yetmez</t>
  </si>
  <si>
    <t xml:space="preserve">T076</t>
  </si>
  <si>
    <t xml:space="preserve">Vektör regfile (32×VLEN) + VLEN kararı</t>
  </si>
  <si>
    <t xml:space="preserve">Büyük dizi</t>
  </si>
  <si>
    <t xml:space="preserve">VLEN: 128/256/512</t>
  </si>
  <si>
    <t xml:space="preserve">T077</t>
  </si>
  <si>
    <t xml:space="preserve">Vektör CSR'ları (vtype/vl/…)</t>
  </si>
  <si>
    <t xml:space="preserve">Mevcut motora ekle</t>
  </si>
  <si>
    <t xml:space="preserve">T078</t>
  </si>
  <si>
    <t xml:space="preserve">vsetvli/vsetvl/vsetivli</t>
  </si>
  <si>
    <t xml:space="preserve">Konfigürasyon komutları</t>
  </si>
  <si>
    <t xml:space="preserve">T079</t>
  </si>
  <si>
    <t xml:space="preserve">Vektör ALU + lane organizasyonu</t>
  </si>
  <si>
    <t xml:space="preserve">Eleman-bazlı, reduction, permütasyon</t>
  </si>
  <si>
    <t xml:space="preserve">XL</t>
  </si>
  <si>
    <t xml:space="preserve">T080</t>
  </si>
  <si>
    <t xml:space="preserve">Vektör load/store</t>
  </si>
  <si>
    <t xml:space="preserve">Unit-stride/strided/indexed/segment</t>
  </si>
  <si>
    <t xml:space="preserve">T064,T076</t>
  </si>
  <si>
    <t xml:space="preserve">Belleği zorlar</t>
  </si>
  <si>
    <t xml:space="preserve">T081</t>
  </si>
  <si>
    <t xml:space="preserve">Maskeleme (v0)</t>
  </si>
  <si>
    <t xml:space="preserve">Maskeli yürütme</t>
  </si>
  <si>
    <t xml:space="preserve">T082</t>
  </si>
  <si>
    <t xml:space="preserve">Vektör FP (F ile etkileşim)</t>
  </si>
  <si>
    <t xml:space="preserve">fcsr, eleman-başı exception</t>
  </si>
  <si>
    <t xml:space="preserve">T068,T079</t>
  </si>
  <si>
    <t xml:space="preserve">T083</t>
  </si>
  <si>
    <t xml:space="preserve">Decoupled vektör birimi + hazard izleme</t>
  </si>
  <si>
    <t xml:space="preserve">Skalere karşı</t>
  </si>
  <si>
    <t xml:space="preserve">Chaining v1'de atla</t>
  </si>
  <si>
    <t xml:space="preserve">T084</t>
  </si>
  <si>
    <t xml:space="preserve">Doğrulama V: arch-test + kernel'ler</t>
  </si>
  <si>
    <t xml:space="preserve">SAXPY/memcpy/dot</t>
  </si>
  <si>
    <t xml:space="preserve">T085</t>
  </si>
  <si>
    <t xml:space="preserve">I-cache</t>
  </si>
  <si>
    <t xml:space="preserve">T086</t>
  </si>
  <si>
    <t xml:space="preserve">D-cache</t>
  </si>
  <si>
    <t xml:space="preserve">Write-back / allocate</t>
  </si>
  <si>
    <t xml:space="preserve">T087</t>
  </si>
  <si>
    <t xml:space="preserve">fence.i I-cache invalidation</t>
  </si>
  <si>
    <t xml:space="preserve">T088</t>
  </si>
  <si>
    <t xml:space="preserve">TLB/MMU (Sv32) — opsiyonel</t>
  </si>
  <si>
    <t xml:space="preserve">S-mode + sanal bellek</t>
  </si>
  <si>
    <t xml:space="preserve">Büyük dal</t>
  </si>
  <si>
    <t xml:space="preserve">T089</t>
  </si>
  <si>
    <t xml:space="preserve">Doğrulama cache: stress + co-sim</t>
  </si>
  <si>
    <t xml:space="preserve">T085,T086</t>
  </si>
  <si>
    <t xml:space="preserve">T090</t>
  </si>
  <si>
    <t xml:space="preserve">Bus fabric (AXI4/TileLink/Wishbone)</t>
  </si>
  <si>
    <t xml:space="preserve">T091</t>
  </si>
  <si>
    <t xml:space="preserve">PLIC</t>
  </si>
  <si>
    <t xml:space="preserve">External interrupt controller</t>
  </si>
  <si>
    <t xml:space="preserve">T092</t>
  </si>
  <si>
    <t xml:space="preserve">UART</t>
  </si>
  <si>
    <t xml:space="preserve">Konsol</t>
  </si>
  <si>
    <t xml:space="preserve">T093</t>
  </si>
  <si>
    <t xml:space="preserve">Timer/GPIO/(SPI)</t>
  </si>
  <si>
    <t xml:space="preserve">T094</t>
  </si>
  <si>
    <t xml:space="preserve">Boot (reset vektör, boot ROM)</t>
  </si>
  <si>
    <t xml:space="preserve">Program yükleme</t>
  </si>
  <si>
    <t xml:space="preserve">T095</t>
  </si>
  <si>
    <t xml:space="preserve">Custom opcode decode (custom-0..3)</t>
  </si>
  <si>
    <t xml:space="preserve">riscv_pkg + decode</t>
  </si>
  <si>
    <t xml:space="preserve">T096</t>
  </si>
  <si>
    <t xml:space="preserve">Özel fonksiyonel birim + pipeline arayüzü</t>
  </si>
  <si>
    <t xml:space="preserve">T097</t>
  </si>
  <si>
    <t xml:space="preserve">Directed custom testleri</t>
  </si>
  <si>
    <t xml:space="preserve">Hazır compliance yok</t>
  </si>
  <si>
    <t xml:space="preserve">T098</t>
  </si>
  <si>
    <t xml:space="preserve">Fiziksel</t>
  </si>
  <si>
    <t xml:space="preserve">Sentezlenebilir RTL disiplini</t>
  </si>
  <si>
    <t xml:space="preserve">Gün 1'den, sürekli</t>
  </si>
  <si>
    <t xml:space="preserve">Baştan uygulanıyor</t>
  </si>
  <si>
    <t xml:space="preserve">T099</t>
  </si>
  <si>
    <t xml:space="preserve">Logic synthesis + SDC</t>
  </si>
  <si>
    <t xml:space="preserve">Yosys / DC-Genus</t>
  </si>
  <si>
    <t xml:space="preserve">T100</t>
  </si>
  <si>
    <t xml:space="preserve">Clock/reset mimarisi + CDC</t>
  </si>
  <si>
    <t xml:space="preserve">T101</t>
  </si>
  <si>
    <t xml:space="preserve">DFT (scan/ATPG, MBIST)</t>
  </si>
  <si>
    <t xml:space="preserve">SRAM'ler için MBIST</t>
  </si>
  <si>
    <t xml:space="preserve">T102</t>
  </si>
  <si>
    <t xml:space="preserve">Floorplan</t>
  </si>
  <si>
    <t xml:space="preserve">Büyük diziler</t>
  </si>
  <si>
    <t xml:space="preserve">T103</t>
  </si>
  <si>
    <t xml:space="preserve">Place &amp; route</t>
  </si>
  <si>
    <t xml:space="preserve">OpenROAD / Innovus-ICC2</t>
  </si>
  <si>
    <t xml:space="preserve">T104</t>
  </si>
  <si>
    <t xml:space="preserve">CTS (clock tree synthesis)</t>
  </si>
  <si>
    <t xml:space="preserve">T105</t>
  </si>
  <si>
    <t xml:space="preserve">STA signoff (PVT, MCMM)</t>
  </si>
  <si>
    <t xml:space="preserve">Setup/hold köşeler</t>
  </si>
  <si>
    <t xml:space="preserve">T106</t>
  </si>
  <si>
    <t xml:space="preserve">Power (clock gating, analiz)</t>
  </si>
  <si>
    <t xml:space="preserve">T107</t>
  </si>
  <si>
    <t xml:space="preserve">Physical verification (DRC/LVS/antenna)</t>
  </si>
  <si>
    <t xml:space="preserve">IR-drop / EM</t>
  </si>
  <si>
    <t xml:space="preserve">T108</t>
  </si>
  <si>
    <t xml:space="preserve">GDSII tapeout</t>
  </si>
  <si>
    <t xml:space="preserve">Final paket</t>
  </si>
  <si>
    <t xml:space="preserve">T105,T107</t>
  </si>
  <si>
    <t xml:space="preserve">T109</t>
  </si>
  <si>
    <t xml:space="preserve">FPGA</t>
  </si>
  <si>
    <t xml:space="preserve">FPGA #1 (RV32I)</t>
  </si>
  <si>
    <t xml:space="preserve">Faz 1 sonrası</t>
  </si>
  <si>
    <t xml:space="preserve">T110</t>
  </si>
  <si>
    <t xml:space="preserve">FPGA #2 (M/C/B)</t>
  </si>
  <si>
    <t xml:space="preserve">Faz 3 sonrası</t>
  </si>
  <si>
    <t xml:space="preserve">T052,T055,T060</t>
  </si>
  <si>
    <t xml:space="preserve">T111</t>
  </si>
  <si>
    <t xml:space="preserve">FPGA #3 (F)</t>
  </si>
  <si>
    <t xml:space="preserve">Faz 5 sonrası</t>
  </si>
  <si>
    <t xml:space="preserve">T112</t>
  </si>
  <si>
    <t xml:space="preserve">FPGA #4 (V)</t>
  </si>
  <si>
    <t xml:space="preserve">Faz 6 sonrası</t>
  </si>
  <si>
    <t xml:space="preserve">T113</t>
  </si>
  <si>
    <t xml:space="preserve">M3 deep pipeline</t>
  </si>
  <si>
    <t xml:space="preserve">Aşamaları böl; iyi branch predictor</t>
  </si>
  <si>
    <t xml:space="preserve">ISA olgunlaşınca</t>
  </si>
  <si>
    <t xml:space="preserve">T114</t>
  </si>
  <si>
    <t xml:space="preserve">M4 superscalar</t>
  </si>
  <si>
    <t xml:space="preserve">Cycle başına çok komut</t>
  </si>
  <si>
    <t xml:space="preserve">T115</t>
  </si>
  <si>
    <t xml:space="preserve">M5 out-of-order (OoO)</t>
  </si>
  <si>
    <t xml:space="preserve">Renaming+ROB+scheduler+LSQ</t>
  </si>
  <si>
    <t xml:space="preserve">V kadar veya daha büyük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</si>
</sst>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3"/>
  </cols>
  <sheetData>
    <row r="1" customFormat="false" ht="18.55" hidden="false" customHeight="false" outlineLevel="0" collapsed="false">
      <c r="A1" s="2" t="s">
        <v>0</v>
      </c>
      <c r="B1" s="2"/>
      <c r="C1" s="2"/>
      <c r="D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5" t="n">
        <f aca="false">COUNTA(Görevler!$A$2:$A$116)</f>
        <v>115</v>
      </c>
    </row>
    <row r="5" customFormat="false" ht="15" hidden="false" customHeight="false" outlineLevel="0" collapsed="false">
      <c r="A5" s="4" t="s">
        <v>3</v>
      </c>
      <c r="B5" s="5" t="n">
        <f aca="false">COUNTIF(Görevler!$H$2:$H$116,"Tamamlandı")</f>
        <v>13</v>
      </c>
    </row>
    <row r="6" customFormat="false" ht="15" hidden="false" customHeight="false" outlineLevel="0" collapsed="false">
      <c r="A6" s="4" t="s">
        <v>4</v>
      </c>
      <c r="B6" s="5" t="n">
        <f aca="false">COUNTIF(Görevler!$H$2:$H$116,"Devam Ediyor")</f>
        <v>3</v>
      </c>
    </row>
    <row r="7" customFormat="false" ht="15" hidden="false" customHeight="false" outlineLevel="0" collapsed="false">
      <c r="A7" s="4" t="s">
        <v>5</v>
      </c>
      <c r="B7" s="5" t="n">
        <f aca="false">COUNTIF(Görevler!$H$2:$H$116,"Yapılacak")</f>
        <v>99</v>
      </c>
    </row>
    <row r="8" customFormat="false" ht="15" hidden="false" customHeight="false" outlineLevel="0" collapsed="false">
      <c r="A8" s="4" t="s">
        <v>6</v>
      </c>
      <c r="B8" s="5" t="n">
        <f aca="false">COUNTIF(Görevler!$H$2:$H$116,"Bloke")</f>
        <v>0</v>
      </c>
    </row>
    <row r="9" customFormat="false" ht="15" hidden="false" customHeight="false" outlineLevel="0" collapsed="false">
      <c r="A9" s="4" t="s">
        <v>7</v>
      </c>
      <c r="B9" s="6" t="n">
        <f aca="false">IFERROR(B5/B4,0)</f>
        <v>0.11304347826087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3</v>
      </c>
      <c r="D12" s="7" t="s">
        <v>7</v>
      </c>
    </row>
    <row r="13" customFormat="false" ht="15" hidden="false" customHeight="false" outlineLevel="0" collapsed="false">
      <c r="A13" s="8" t="s">
        <v>11</v>
      </c>
      <c r="B13" s="9" t="n">
        <f aca="false">COUNTIF(Görevler!$B$2:$B$116,$A13)</f>
        <v>12</v>
      </c>
      <c r="C13" s="9" t="n">
        <f aca="false">COUNTIFS(Görevler!$B$2:$B$116,$A13,Görevler!$H$2:$H$116,"Tamamlandı")</f>
        <v>6</v>
      </c>
      <c r="D13" s="10" t="n">
        <f aca="false">IFERROR(C13/B13,0)</f>
        <v>0.5</v>
      </c>
    </row>
    <row r="14" customFormat="false" ht="15" hidden="false" customHeight="false" outlineLevel="0" collapsed="false">
      <c r="A14" s="8" t="s">
        <v>12</v>
      </c>
      <c r="B14" s="9" t="n">
        <f aca="false">COUNTIF(Görevler!$B$2:$B$116,$A14)</f>
        <v>26</v>
      </c>
      <c r="C14" s="9" t="n">
        <f aca="false">COUNTIFS(Görevler!$B$2:$B$116,$A14,Görevler!$H$2:$H$116,"Tamamlandı")</f>
        <v>6</v>
      </c>
      <c r="D14" s="10" t="n">
        <f aca="false">IFERROR(C14/B14,0)</f>
        <v>0.230769230769231</v>
      </c>
    </row>
    <row r="15" customFormat="false" ht="15" hidden="false" customHeight="false" outlineLevel="0" collapsed="false">
      <c r="A15" s="8" t="s">
        <v>13</v>
      </c>
      <c r="B15" s="9" t="n">
        <f aca="false">COUNTIF(Görevler!$B$2:$B$116,$A15)</f>
        <v>7</v>
      </c>
      <c r="C15" s="9" t="n">
        <f aca="false">COUNTIFS(Görevler!$B$2:$B$116,$A15,Görevler!$H$2:$H$116,"Tamamlandı")</f>
        <v>0</v>
      </c>
      <c r="D15" s="10" t="n">
        <f aca="false">IFERROR(C15/B15,0)</f>
        <v>0</v>
      </c>
    </row>
    <row r="16" customFormat="false" ht="15" hidden="false" customHeight="false" outlineLevel="0" collapsed="false">
      <c r="A16" s="8" t="s">
        <v>14</v>
      </c>
      <c r="B16" s="9" t="n">
        <f aca="false">COUNTIF(Görevler!$B$2:$B$116,$A16)</f>
        <v>15</v>
      </c>
      <c r="C16" s="9" t="n">
        <f aca="false">COUNTIFS(Görevler!$B$2:$B$116,$A16,Görevler!$H$2:$H$116,"Tamamlandı")</f>
        <v>1</v>
      </c>
      <c r="D16" s="10" t="n">
        <f aca="false">IFERROR(C16/B16,0)</f>
        <v>0.0666666666666667</v>
      </c>
    </row>
    <row r="17" customFormat="false" ht="15" hidden="false" customHeight="false" outlineLevel="0" collapsed="false">
      <c r="A17" s="8" t="s">
        <v>15</v>
      </c>
      <c r="B17" s="9" t="n">
        <f aca="false">COUNTIF(Görevler!$B$2:$B$116,$A17)</f>
        <v>5</v>
      </c>
      <c r="C17" s="9" t="n">
        <f aca="false">COUNTIFS(Görevler!$B$2:$B$116,$A17,Görevler!$H$2:$H$116,"Tamamlandı")</f>
        <v>0</v>
      </c>
      <c r="D17" s="10" t="n">
        <f aca="false">IFERROR(C17/B17,0)</f>
        <v>0</v>
      </c>
    </row>
    <row r="18" customFormat="false" ht="15" hidden="false" customHeight="false" outlineLevel="0" collapsed="false">
      <c r="A18" s="8" t="s">
        <v>16</v>
      </c>
      <c r="B18" s="9" t="n">
        <f aca="false">COUNTIF(Görevler!$B$2:$B$116,$A18)</f>
        <v>10</v>
      </c>
      <c r="C18" s="9" t="n">
        <f aca="false">COUNTIFS(Görevler!$B$2:$B$116,$A18,Görevler!$H$2:$H$116,"Tamamlandı")</f>
        <v>0</v>
      </c>
      <c r="D18" s="10" t="n">
        <f aca="false">IFERROR(C18/B18,0)</f>
        <v>0</v>
      </c>
    </row>
    <row r="19" customFormat="false" ht="15" hidden="false" customHeight="false" outlineLevel="0" collapsed="false">
      <c r="A19" s="8" t="s">
        <v>17</v>
      </c>
      <c r="B19" s="9" t="n">
        <f aca="false">COUNTIF(Görevler!$B$2:$B$116,$A19)</f>
        <v>9</v>
      </c>
      <c r="C19" s="9" t="n">
        <f aca="false">COUNTIFS(Görevler!$B$2:$B$116,$A19,Görevler!$H$2:$H$116,"Tamamlandı")</f>
        <v>0</v>
      </c>
      <c r="D19" s="10" t="n">
        <f aca="false">IFERROR(C19/B19,0)</f>
        <v>0</v>
      </c>
    </row>
    <row r="20" customFormat="false" ht="15" hidden="false" customHeight="false" outlineLevel="0" collapsed="false">
      <c r="A20" s="8" t="s">
        <v>18</v>
      </c>
      <c r="B20" s="9" t="n">
        <f aca="false">COUNTIF(Görevler!$B$2:$B$116,$A20)</f>
        <v>5</v>
      </c>
      <c r="C20" s="9" t="n">
        <f aca="false">COUNTIFS(Görevler!$B$2:$B$116,$A20,Görevler!$H$2:$H$116,"Tamamlandı")</f>
        <v>0</v>
      </c>
      <c r="D20" s="10" t="n">
        <f aca="false">IFERROR(C20/B20,0)</f>
        <v>0</v>
      </c>
    </row>
    <row r="21" customFormat="false" ht="15" hidden="false" customHeight="false" outlineLevel="0" collapsed="false">
      <c r="A21" s="8" t="s">
        <v>19</v>
      </c>
      <c r="B21" s="9" t="n">
        <f aca="false">COUNTIF(Görevler!$B$2:$B$116,$A21)</f>
        <v>5</v>
      </c>
      <c r="C21" s="9" t="n">
        <f aca="false">COUNTIFS(Görevler!$B$2:$B$116,$A21,Görevler!$H$2:$H$116,"Tamamlandı")</f>
        <v>0</v>
      </c>
      <c r="D21" s="10" t="n">
        <f aca="false">IFERROR(C21/B21,0)</f>
        <v>0</v>
      </c>
    </row>
    <row r="22" customFormat="false" ht="15" hidden="false" customHeight="false" outlineLevel="0" collapsed="false">
      <c r="A22" s="8" t="s">
        <v>20</v>
      </c>
      <c r="B22" s="9" t="n">
        <f aca="false">COUNTIF(Görevler!$B$2:$B$116,$A22)</f>
        <v>3</v>
      </c>
      <c r="C22" s="9" t="n">
        <f aca="false">COUNTIFS(Görevler!$B$2:$B$116,$A22,Görevler!$H$2:$H$116,"Tamamlandı")</f>
        <v>0</v>
      </c>
      <c r="D22" s="10" t="n">
        <f aca="false">IFERROR(C22/B22,0)</f>
        <v>0</v>
      </c>
    </row>
    <row r="23" customFormat="false" ht="15" hidden="false" customHeight="false" outlineLevel="0" collapsed="false">
      <c r="A23" s="8" t="s">
        <v>21</v>
      </c>
      <c r="B23" s="9" t="n">
        <f aca="false">COUNTIF(Görevler!$B$2:$B$116,$A23)</f>
        <v>11</v>
      </c>
      <c r="C23" s="9" t="n">
        <f aca="false">COUNTIFS(Görevler!$B$2:$B$116,$A23,Görevler!$H$2:$H$116,"Tamamlandı")</f>
        <v>0</v>
      </c>
      <c r="D23" s="10" t="n">
        <f aca="false">IFERROR(C23/B23,0)</f>
        <v>0</v>
      </c>
    </row>
    <row r="24" customFormat="false" ht="15" hidden="false" customHeight="false" outlineLevel="0" collapsed="false">
      <c r="A24" s="8" t="s">
        <v>22</v>
      </c>
      <c r="B24" s="9" t="n">
        <f aca="false">COUNTIF(Görevler!$B$2:$B$116,$A24)</f>
        <v>4</v>
      </c>
      <c r="C24" s="9" t="n">
        <f aca="false">COUNTIFS(Görevler!$B$2:$B$116,$A24,Görevler!$H$2:$H$116,"Tamamlandı")</f>
        <v>0</v>
      </c>
      <c r="D24" s="10" t="n">
        <f aca="false">IFERROR(C24/B24,0)</f>
        <v>0</v>
      </c>
    </row>
    <row r="25" customFormat="false" ht="15" hidden="false" customHeight="false" outlineLevel="0" collapsed="false">
      <c r="A25" s="8" t="s">
        <v>23</v>
      </c>
      <c r="B25" s="9" t="n">
        <f aca="false">COUNTIF(Görevler!$B$2:$B$116,$A25)</f>
        <v>3</v>
      </c>
      <c r="C25" s="9" t="n">
        <f aca="false">COUNTIFS(Görevler!$B$2:$B$116,$A25,Görevler!$H$2:$H$116,"Tamamlandı")</f>
        <v>0</v>
      </c>
      <c r="D25" s="10" t="n">
        <f aca="false">IFERROR(C25/B25,0)</f>
        <v>0</v>
      </c>
    </row>
    <row r="28" customFormat="false" ht="15" hidden="false" customHeight="false" outlineLevel="0" collapsed="false">
      <c r="A28" s="3" t="s">
        <v>24</v>
      </c>
    </row>
    <row r="29" customFormat="false" ht="15" hidden="false" customHeight="false" outlineLevel="0" collapsed="false">
      <c r="A29" s="11" t="s">
        <v>25</v>
      </c>
      <c r="B29" s="11"/>
      <c r="C29" s="11"/>
      <c r="D29" s="11"/>
    </row>
    <row r="30" customFormat="false" ht="15" hidden="false" customHeight="false" outlineLevel="0" collapsed="false">
      <c r="A30" s="11" t="s">
        <v>26</v>
      </c>
      <c r="B30" s="11"/>
      <c r="C30" s="11"/>
      <c r="D30" s="11"/>
    </row>
    <row r="31" customFormat="false" ht="15" hidden="false" customHeight="false" outlineLevel="0" collapsed="false">
      <c r="A31" s="11" t="s">
        <v>27</v>
      </c>
      <c r="B31" s="11"/>
      <c r="C31" s="11"/>
      <c r="D31" s="11"/>
    </row>
    <row r="32" customFormat="false" ht="15" hidden="false" customHeight="false" outlineLevel="0" collapsed="false">
      <c r="A32" s="11" t="s">
        <v>28</v>
      </c>
      <c r="B32" s="11"/>
      <c r="C32" s="11"/>
      <c r="D32" s="11"/>
    </row>
    <row r="33" customFormat="false" ht="15" hidden="false" customHeight="false" outlineLevel="0" collapsed="false">
      <c r="A33" s="11" t="s">
        <v>29</v>
      </c>
      <c r="B33" s="11"/>
      <c r="C33" s="11"/>
      <c r="D33" s="11"/>
    </row>
    <row r="34" customFormat="false" ht="15" hidden="false" customHeight="false" outlineLevel="0" collapsed="false">
      <c r="A34" s="11" t="s">
        <v>30</v>
      </c>
      <c r="B34" s="11"/>
      <c r="C34" s="11"/>
      <c r="D34" s="11"/>
    </row>
  </sheetData>
  <mergeCells count="7">
    <mergeCell ref="A1:D1"/>
    <mergeCell ref="A29:D29"/>
    <mergeCell ref="A30:D30"/>
    <mergeCell ref="A31:D31"/>
    <mergeCell ref="A32:D32"/>
    <mergeCell ref="A33:D3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12" activePane="bottomLeft" state="frozen"/>
      <selection pane="topLeft" activeCell="B1" activeCellId="0" sqref="B1"/>
      <selection pane="bottomLeft" activeCell="I13" activeCellId="0" sqref="I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40"/>
    <col collapsed="false" customWidth="true" hidden="false" outlineLevel="0" max="5" min="5" style="1" width="46"/>
    <col collapsed="false" customWidth="true" hidden="false" outlineLevel="0" max="6" min="6" style="1" width="7"/>
    <col collapsed="false" customWidth="true" hidden="false" outlineLevel="0" max="7" min="7" style="1" width="11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34"/>
  </cols>
  <sheetData>
    <row r="1" customFormat="false" ht="24" hidden="false" customHeight="true" outlineLevel="0" collapsed="false">
      <c r="A1" s="7" t="s">
        <v>31</v>
      </c>
      <c r="B1" s="7" t="s">
        <v>9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</row>
    <row r="2" customFormat="false" ht="30" hidden="false" customHeight="true" outlineLevel="0" collapsed="false">
      <c r="A2" s="9" t="s">
        <v>40</v>
      </c>
      <c r="B2" s="12" t="s">
        <v>11</v>
      </c>
      <c r="C2" s="12" t="s">
        <v>41</v>
      </c>
      <c r="D2" s="13" t="s">
        <v>42</v>
      </c>
      <c r="E2" s="13" t="s">
        <v>43</v>
      </c>
      <c r="F2" s="9" t="s">
        <v>44</v>
      </c>
      <c r="G2" s="9" t="s">
        <v>45</v>
      </c>
      <c r="H2" s="9" t="s">
        <v>3</v>
      </c>
      <c r="I2" s="13" t="s">
        <v>46</v>
      </c>
      <c r="J2" s="13" t="s">
        <v>47</v>
      </c>
    </row>
    <row r="3" customFormat="false" ht="30" hidden="false" customHeight="true" outlineLevel="0" collapsed="false">
      <c r="A3" s="9" t="s">
        <v>48</v>
      </c>
      <c r="B3" s="12" t="s">
        <v>11</v>
      </c>
      <c r="C3" s="12" t="s">
        <v>41</v>
      </c>
      <c r="D3" s="13" t="s">
        <v>49</v>
      </c>
      <c r="E3" s="13" t="s">
        <v>50</v>
      </c>
      <c r="F3" s="9" t="s">
        <v>44</v>
      </c>
      <c r="G3" s="9" t="s">
        <v>45</v>
      </c>
      <c r="H3" s="9" t="s">
        <v>3</v>
      </c>
      <c r="I3" s="13" t="s">
        <v>46</v>
      </c>
      <c r="J3" s="13" t="s">
        <v>47</v>
      </c>
    </row>
    <row r="4" customFormat="false" ht="30" hidden="false" customHeight="true" outlineLevel="0" collapsed="false">
      <c r="A4" s="9" t="s">
        <v>51</v>
      </c>
      <c r="B4" s="12" t="s">
        <v>11</v>
      </c>
      <c r="C4" s="12" t="s">
        <v>41</v>
      </c>
      <c r="D4" s="13" t="s">
        <v>52</v>
      </c>
      <c r="E4" s="13" t="s">
        <v>53</v>
      </c>
      <c r="F4" s="9" t="s">
        <v>44</v>
      </c>
      <c r="G4" s="9" t="s">
        <v>45</v>
      </c>
      <c r="H4" s="9" t="s">
        <v>3</v>
      </c>
      <c r="I4" s="13" t="s">
        <v>46</v>
      </c>
      <c r="J4" s="13" t="s">
        <v>54</v>
      </c>
    </row>
    <row r="5" customFormat="false" ht="30" hidden="false" customHeight="true" outlineLevel="0" collapsed="false">
      <c r="A5" s="9" t="s">
        <v>55</v>
      </c>
      <c r="B5" s="12" t="s">
        <v>11</v>
      </c>
      <c r="C5" s="12" t="s">
        <v>56</v>
      </c>
      <c r="D5" s="13" t="s">
        <v>57</v>
      </c>
      <c r="E5" s="13" t="s">
        <v>58</v>
      </c>
      <c r="F5" s="9" t="s">
        <v>44</v>
      </c>
      <c r="G5" s="9" t="s">
        <v>45</v>
      </c>
      <c r="H5" s="9" t="s">
        <v>4</v>
      </c>
      <c r="I5" s="13" t="s">
        <v>51</v>
      </c>
      <c r="J5" s="13" t="s">
        <v>59</v>
      </c>
    </row>
    <row r="6" customFormat="false" ht="30" hidden="false" customHeight="true" outlineLevel="0" collapsed="false">
      <c r="A6" s="9" t="s">
        <v>60</v>
      </c>
      <c r="B6" s="12" t="s">
        <v>11</v>
      </c>
      <c r="C6" s="12" t="s">
        <v>56</v>
      </c>
      <c r="D6" s="13" t="s">
        <v>61</v>
      </c>
      <c r="E6" s="13" t="s">
        <v>62</v>
      </c>
      <c r="F6" s="9" t="s">
        <v>44</v>
      </c>
      <c r="G6" s="9" t="s">
        <v>45</v>
      </c>
      <c r="H6" s="9" t="s">
        <v>4</v>
      </c>
      <c r="I6" s="13" t="s">
        <v>51</v>
      </c>
      <c r="J6" s="13" t="s">
        <v>63</v>
      </c>
    </row>
    <row r="7" customFormat="false" ht="30" hidden="false" customHeight="true" outlineLevel="0" collapsed="false">
      <c r="A7" s="9" t="s">
        <v>64</v>
      </c>
      <c r="B7" s="12" t="s">
        <v>11</v>
      </c>
      <c r="C7" s="12" t="s">
        <v>41</v>
      </c>
      <c r="D7" s="13" t="s">
        <v>65</v>
      </c>
      <c r="E7" s="13" t="s">
        <v>66</v>
      </c>
      <c r="F7" s="9" t="s">
        <v>44</v>
      </c>
      <c r="G7" s="9" t="s">
        <v>45</v>
      </c>
      <c r="H7" s="9" t="s">
        <v>3</v>
      </c>
      <c r="I7" s="13" t="s">
        <v>46</v>
      </c>
      <c r="J7" s="13"/>
    </row>
    <row r="8" customFormat="false" ht="30" hidden="false" customHeight="true" outlineLevel="0" collapsed="false">
      <c r="A8" s="9" t="s">
        <v>67</v>
      </c>
      <c r="B8" s="12" t="s">
        <v>11</v>
      </c>
      <c r="C8" s="12" t="s">
        <v>41</v>
      </c>
      <c r="D8" s="13" t="s">
        <v>68</v>
      </c>
      <c r="E8" s="13" t="s">
        <v>69</v>
      </c>
      <c r="F8" s="9" t="s">
        <v>44</v>
      </c>
      <c r="G8" s="9" t="s">
        <v>45</v>
      </c>
      <c r="H8" s="9" t="s">
        <v>3</v>
      </c>
      <c r="I8" s="13" t="s">
        <v>46</v>
      </c>
      <c r="J8" s="13"/>
    </row>
    <row r="9" customFormat="false" ht="30" hidden="false" customHeight="true" outlineLevel="0" collapsed="false">
      <c r="A9" s="9" t="s">
        <v>70</v>
      </c>
      <c r="B9" s="12" t="s">
        <v>11</v>
      </c>
      <c r="C9" s="12" t="s">
        <v>41</v>
      </c>
      <c r="D9" s="13" t="s">
        <v>71</v>
      </c>
      <c r="E9" s="13" t="s">
        <v>72</v>
      </c>
      <c r="F9" s="9" t="s">
        <v>44</v>
      </c>
      <c r="G9" s="9" t="s">
        <v>45</v>
      </c>
      <c r="H9" s="9" t="s">
        <v>3</v>
      </c>
      <c r="I9" s="13" t="s">
        <v>46</v>
      </c>
      <c r="J9" s="13"/>
    </row>
    <row r="10" customFormat="false" ht="30" hidden="false" customHeight="true" outlineLevel="0" collapsed="false">
      <c r="A10" s="9" t="s">
        <v>73</v>
      </c>
      <c r="B10" s="12" t="s">
        <v>11</v>
      </c>
      <c r="C10" s="12" t="s">
        <v>74</v>
      </c>
      <c r="D10" s="13" t="s">
        <v>75</v>
      </c>
      <c r="E10" s="13" t="s">
        <v>76</v>
      </c>
      <c r="F10" s="9" t="s">
        <v>77</v>
      </c>
      <c r="G10" s="9" t="s">
        <v>45</v>
      </c>
      <c r="H10" s="9" t="s">
        <v>5</v>
      </c>
      <c r="I10" s="13" t="s">
        <v>78</v>
      </c>
      <c r="J10" s="13" t="s">
        <v>79</v>
      </c>
    </row>
    <row r="11" customFormat="false" ht="30" hidden="false" customHeight="true" outlineLevel="0" collapsed="false">
      <c r="A11" s="9" t="s">
        <v>80</v>
      </c>
      <c r="B11" s="12" t="s">
        <v>11</v>
      </c>
      <c r="C11" s="12" t="s">
        <v>41</v>
      </c>
      <c r="D11" s="13" t="s">
        <v>81</v>
      </c>
      <c r="E11" s="13" t="s">
        <v>82</v>
      </c>
      <c r="F11" s="9" t="s">
        <v>44</v>
      </c>
      <c r="G11" s="9" t="s">
        <v>83</v>
      </c>
      <c r="H11" s="9" t="s">
        <v>5</v>
      </c>
      <c r="I11" s="13" t="s">
        <v>46</v>
      </c>
      <c r="J11" s="13"/>
    </row>
    <row r="12" customFormat="false" ht="30" hidden="false" customHeight="true" outlineLevel="0" collapsed="false">
      <c r="A12" s="9" t="s">
        <v>84</v>
      </c>
      <c r="B12" s="12" t="s">
        <v>11</v>
      </c>
      <c r="C12" s="12" t="s">
        <v>41</v>
      </c>
      <c r="D12" s="13" t="s">
        <v>85</v>
      </c>
      <c r="E12" s="13" t="s">
        <v>86</v>
      </c>
      <c r="F12" s="9" t="s">
        <v>44</v>
      </c>
      <c r="G12" s="9" t="s">
        <v>87</v>
      </c>
      <c r="H12" s="9" t="s">
        <v>5</v>
      </c>
      <c r="I12" s="13" t="s">
        <v>46</v>
      </c>
      <c r="J12" s="13"/>
    </row>
    <row r="13" customFormat="false" ht="30" hidden="false" customHeight="true" outlineLevel="0" collapsed="false">
      <c r="A13" s="9" t="s">
        <v>88</v>
      </c>
      <c r="B13" s="12" t="s">
        <v>11</v>
      </c>
      <c r="C13" s="12" t="s">
        <v>41</v>
      </c>
      <c r="D13" s="13" t="s">
        <v>89</v>
      </c>
      <c r="E13" s="13" t="s">
        <v>90</v>
      </c>
      <c r="F13" s="9" t="s">
        <v>77</v>
      </c>
      <c r="G13" s="9" t="s">
        <v>83</v>
      </c>
      <c r="H13" s="9" t="s">
        <v>5</v>
      </c>
      <c r="I13" s="13" t="s">
        <v>91</v>
      </c>
      <c r="J13" s="13"/>
    </row>
    <row r="14" customFormat="false" ht="30" hidden="false" customHeight="true" outlineLevel="0" collapsed="false">
      <c r="A14" s="9" t="s">
        <v>92</v>
      </c>
      <c r="B14" s="12" t="s">
        <v>12</v>
      </c>
      <c r="C14" s="12" t="s">
        <v>56</v>
      </c>
      <c r="D14" s="13" t="s">
        <v>93</v>
      </c>
      <c r="E14" s="13" t="s">
        <v>94</v>
      </c>
      <c r="F14" s="9" t="s">
        <v>44</v>
      </c>
      <c r="G14" s="9" t="s">
        <v>45</v>
      </c>
      <c r="H14" s="9" t="s">
        <v>3</v>
      </c>
      <c r="I14" s="13" t="s">
        <v>55</v>
      </c>
      <c r="J14" s="13" t="s">
        <v>95</v>
      </c>
    </row>
    <row r="15" customFormat="false" ht="30" hidden="false" customHeight="true" outlineLevel="0" collapsed="false">
      <c r="A15" s="9" t="s">
        <v>96</v>
      </c>
      <c r="B15" s="12" t="s">
        <v>12</v>
      </c>
      <c r="C15" s="12" t="s">
        <v>56</v>
      </c>
      <c r="D15" s="13" t="s">
        <v>97</v>
      </c>
      <c r="E15" s="13" t="s">
        <v>98</v>
      </c>
      <c r="F15" s="9" t="s">
        <v>44</v>
      </c>
      <c r="G15" s="9" t="s">
        <v>45</v>
      </c>
      <c r="H15" s="9" t="s">
        <v>3</v>
      </c>
      <c r="I15" s="13" t="s">
        <v>46</v>
      </c>
      <c r="J15" s="13"/>
    </row>
    <row r="16" customFormat="false" ht="30" hidden="false" customHeight="true" outlineLevel="0" collapsed="false">
      <c r="A16" s="9" t="s">
        <v>99</v>
      </c>
      <c r="B16" s="12" t="s">
        <v>12</v>
      </c>
      <c r="C16" s="12" t="s">
        <v>56</v>
      </c>
      <c r="D16" s="13" t="s">
        <v>100</v>
      </c>
      <c r="E16" s="13" t="s">
        <v>101</v>
      </c>
      <c r="F16" s="9" t="s">
        <v>44</v>
      </c>
      <c r="G16" s="9" t="s">
        <v>45</v>
      </c>
      <c r="H16" s="9" t="s">
        <v>3</v>
      </c>
      <c r="I16" s="13" t="s">
        <v>55</v>
      </c>
      <c r="J16" s="13"/>
    </row>
    <row r="17" customFormat="false" ht="30" hidden="false" customHeight="true" outlineLevel="0" collapsed="false">
      <c r="A17" s="9" t="s">
        <v>102</v>
      </c>
      <c r="B17" s="12" t="s">
        <v>12</v>
      </c>
      <c r="C17" s="12" t="s">
        <v>56</v>
      </c>
      <c r="D17" s="13" t="s">
        <v>103</v>
      </c>
      <c r="E17" s="13" t="s">
        <v>104</v>
      </c>
      <c r="F17" s="9" t="s">
        <v>44</v>
      </c>
      <c r="G17" s="9" t="s">
        <v>45</v>
      </c>
      <c r="H17" s="9" t="s">
        <v>3</v>
      </c>
      <c r="I17" s="13" t="s">
        <v>55</v>
      </c>
      <c r="J17" s="13"/>
    </row>
    <row r="18" customFormat="false" ht="30" hidden="false" customHeight="true" outlineLevel="0" collapsed="false">
      <c r="A18" s="9" t="s">
        <v>105</v>
      </c>
      <c r="B18" s="12" t="s">
        <v>12</v>
      </c>
      <c r="C18" s="12" t="s">
        <v>56</v>
      </c>
      <c r="D18" s="13" t="s">
        <v>106</v>
      </c>
      <c r="E18" s="13" t="s">
        <v>107</v>
      </c>
      <c r="F18" s="9" t="s">
        <v>77</v>
      </c>
      <c r="G18" s="9" t="s">
        <v>45</v>
      </c>
      <c r="H18" s="9" t="s">
        <v>3</v>
      </c>
      <c r="I18" s="13" t="s">
        <v>46</v>
      </c>
      <c r="J18" s="13" t="s">
        <v>108</v>
      </c>
    </row>
    <row r="19" customFormat="false" ht="30" hidden="false" customHeight="true" outlineLevel="0" collapsed="false">
      <c r="A19" s="9" t="s">
        <v>109</v>
      </c>
      <c r="B19" s="12" t="s">
        <v>12</v>
      </c>
      <c r="C19" s="12" t="s">
        <v>56</v>
      </c>
      <c r="D19" s="13" t="s">
        <v>110</v>
      </c>
      <c r="E19" s="13" t="s">
        <v>111</v>
      </c>
      <c r="F19" s="9" t="s">
        <v>44</v>
      </c>
      <c r="G19" s="9" t="s">
        <v>45</v>
      </c>
      <c r="H19" s="9" t="s">
        <v>5</v>
      </c>
      <c r="I19" s="13" t="s">
        <v>105</v>
      </c>
      <c r="J19" s="13"/>
    </row>
    <row r="20" customFormat="false" ht="30" hidden="false" customHeight="true" outlineLevel="0" collapsed="false">
      <c r="A20" s="9" t="s">
        <v>112</v>
      </c>
      <c r="B20" s="12" t="s">
        <v>12</v>
      </c>
      <c r="C20" s="12" t="s">
        <v>56</v>
      </c>
      <c r="D20" s="13" t="s">
        <v>113</v>
      </c>
      <c r="E20" s="13" t="s">
        <v>114</v>
      </c>
      <c r="F20" s="9" t="s">
        <v>44</v>
      </c>
      <c r="G20" s="9" t="s">
        <v>45</v>
      </c>
      <c r="H20" s="9" t="s">
        <v>3</v>
      </c>
      <c r="I20" s="13" t="s">
        <v>46</v>
      </c>
      <c r="J20" s="13"/>
    </row>
    <row r="21" customFormat="false" ht="30" hidden="false" customHeight="true" outlineLevel="0" collapsed="false">
      <c r="A21" s="9" t="s">
        <v>115</v>
      </c>
      <c r="B21" s="12" t="s">
        <v>12</v>
      </c>
      <c r="C21" s="12" t="s">
        <v>56</v>
      </c>
      <c r="D21" s="13" t="s">
        <v>116</v>
      </c>
      <c r="E21" s="13" t="s">
        <v>117</v>
      </c>
      <c r="F21" s="9" t="s">
        <v>77</v>
      </c>
      <c r="G21" s="9" t="s">
        <v>45</v>
      </c>
      <c r="H21" s="9" t="s">
        <v>5</v>
      </c>
      <c r="I21" s="13" t="s">
        <v>55</v>
      </c>
      <c r="J21" s="13"/>
    </row>
    <row r="22" customFormat="false" ht="30" hidden="false" customHeight="true" outlineLevel="0" collapsed="false">
      <c r="A22" s="9" t="s">
        <v>118</v>
      </c>
      <c r="B22" s="12" t="s">
        <v>12</v>
      </c>
      <c r="C22" s="12" t="s">
        <v>56</v>
      </c>
      <c r="D22" s="13" t="s">
        <v>119</v>
      </c>
      <c r="E22" s="13" t="s">
        <v>120</v>
      </c>
      <c r="F22" s="9" t="s">
        <v>44</v>
      </c>
      <c r="G22" s="9" t="s">
        <v>45</v>
      </c>
      <c r="H22" s="9" t="s">
        <v>5</v>
      </c>
      <c r="I22" s="13" t="s">
        <v>46</v>
      </c>
      <c r="J22" s="13"/>
    </row>
    <row r="23" customFormat="false" ht="30" hidden="false" customHeight="true" outlineLevel="0" collapsed="false">
      <c r="A23" s="9" t="s">
        <v>121</v>
      </c>
      <c r="B23" s="12" t="s">
        <v>12</v>
      </c>
      <c r="C23" s="12" t="s">
        <v>56</v>
      </c>
      <c r="D23" s="13" t="s">
        <v>122</v>
      </c>
      <c r="E23" s="13" t="s">
        <v>123</v>
      </c>
      <c r="F23" s="9" t="s">
        <v>77</v>
      </c>
      <c r="G23" s="9" t="s">
        <v>45</v>
      </c>
      <c r="H23" s="9" t="s">
        <v>5</v>
      </c>
      <c r="I23" s="13" t="s">
        <v>124</v>
      </c>
      <c r="J23" s="13" t="s">
        <v>125</v>
      </c>
    </row>
    <row r="24" customFormat="false" ht="30" hidden="false" customHeight="true" outlineLevel="0" collapsed="false">
      <c r="A24" s="9" t="s">
        <v>126</v>
      </c>
      <c r="B24" s="12" t="s">
        <v>12</v>
      </c>
      <c r="C24" s="12" t="s">
        <v>56</v>
      </c>
      <c r="D24" s="13" t="s">
        <v>127</v>
      </c>
      <c r="E24" s="13" t="s">
        <v>128</v>
      </c>
      <c r="F24" s="9" t="s">
        <v>44</v>
      </c>
      <c r="G24" s="9" t="s">
        <v>45</v>
      </c>
      <c r="H24" s="9" t="s">
        <v>5</v>
      </c>
      <c r="I24" s="13" t="s">
        <v>121</v>
      </c>
      <c r="J24" s="13" t="s">
        <v>129</v>
      </c>
    </row>
    <row r="25" customFormat="false" ht="30" hidden="false" customHeight="true" outlineLevel="0" collapsed="false">
      <c r="A25" s="9" t="s">
        <v>130</v>
      </c>
      <c r="B25" s="12" t="s">
        <v>12</v>
      </c>
      <c r="C25" s="12" t="s">
        <v>56</v>
      </c>
      <c r="D25" s="13" t="s">
        <v>131</v>
      </c>
      <c r="E25" s="13" t="s">
        <v>132</v>
      </c>
      <c r="F25" s="9" t="s">
        <v>77</v>
      </c>
      <c r="G25" s="9" t="s">
        <v>45</v>
      </c>
      <c r="H25" s="9" t="s">
        <v>5</v>
      </c>
      <c r="I25" s="13" t="s">
        <v>126</v>
      </c>
      <c r="J25" s="13"/>
    </row>
    <row r="26" customFormat="false" ht="30" hidden="false" customHeight="true" outlineLevel="0" collapsed="false">
      <c r="A26" s="9" t="s">
        <v>133</v>
      </c>
      <c r="B26" s="12" t="s">
        <v>12</v>
      </c>
      <c r="C26" s="12" t="s">
        <v>56</v>
      </c>
      <c r="D26" s="13" t="s">
        <v>134</v>
      </c>
      <c r="E26" s="13" t="s">
        <v>135</v>
      </c>
      <c r="F26" s="9" t="s">
        <v>44</v>
      </c>
      <c r="G26" s="9" t="s">
        <v>45</v>
      </c>
      <c r="H26" s="9" t="s">
        <v>5</v>
      </c>
      <c r="I26" s="13" t="s">
        <v>126</v>
      </c>
      <c r="J26" s="13" t="s">
        <v>136</v>
      </c>
    </row>
    <row r="27" customFormat="false" ht="30" hidden="false" customHeight="true" outlineLevel="0" collapsed="false">
      <c r="A27" s="9" t="s">
        <v>137</v>
      </c>
      <c r="B27" s="12" t="s">
        <v>12</v>
      </c>
      <c r="C27" s="12" t="s">
        <v>56</v>
      </c>
      <c r="D27" s="13" t="s">
        <v>138</v>
      </c>
      <c r="E27" s="13" t="s">
        <v>139</v>
      </c>
      <c r="F27" s="9" t="s">
        <v>44</v>
      </c>
      <c r="G27" s="9" t="s">
        <v>83</v>
      </c>
      <c r="H27" s="9" t="s">
        <v>5</v>
      </c>
      <c r="I27" s="13" t="s">
        <v>126</v>
      </c>
      <c r="J27" s="13"/>
    </row>
    <row r="28" customFormat="false" ht="30" hidden="false" customHeight="true" outlineLevel="0" collapsed="false">
      <c r="A28" s="9" t="s">
        <v>140</v>
      </c>
      <c r="B28" s="12" t="s">
        <v>12</v>
      </c>
      <c r="C28" s="12" t="s">
        <v>56</v>
      </c>
      <c r="D28" s="13" t="s">
        <v>141</v>
      </c>
      <c r="E28" s="13" t="s">
        <v>142</v>
      </c>
      <c r="F28" s="9" t="s">
        <v>44</v>
      </c>
      <c r="G28" s="9" t="s">
        <v>83</v>
      </c>
      <c r="H28" s="9" t="s">
        <v>5</v>
      </c>
      <c r="I28" s="13" t="s">
        <v>130</v>
      </c>
      <c r="J28" s="13" t="s">
        <v>143</v>
      </c>
    </row>
    <row r="29" customFormat="false" ht="30" hidden="false" customHeight="true" outlineLevel="0" collapsed="false">
      <c r="A29" s="9" t="s">
        <v>144</v>
      </c>
      <c r="B29" s="12" t="s">
        <v>12</v>
      </c>
      <c r="C29" s="12" t="s">
        <v>56</v>
      </c>
      <c r="D29" s="13" t="s">
        <v>145</v>
      </c>
      <c r="E29" s="13" t="s">
        <v>146</v>
      </c>
      <c r="F29" s="9" t="s">
        <v>44</v>
      </c>
      <c r="G29" s="9" t="s">
        <v>83</v>
      </c>
      <c r="H29" s="9" t="s">
        <v>5</v>
      </c>
      <c r="I29" s="13" t="s">
        <v>147</v>
      </c>
      <c r="J29" s="13"/>
    </row>
    <row r="30" customFormat="false" ht="30" hidden="false" customHeight="true" outlineLevel="0" collapsed="false">
      <c r="A30" s="9" t="s">
        <v>148</v>
      </c>
      <c r="B30" s="12" t="s">
        <v>12</v>
      </c>
      <c r="C30" s="12" t="s">
        <v>56</v>
      </c>
      <c r="D30" s="13" t="s">
        <v>149</v>
      </c>
      <c r="E30" s="13" t="s">
        <v>150</v>
      </c>
      <c r="F30" s="9" t="s">
        <v>77</v>
      </c>
      <c r="G30" s="9" t="s">
        <v>45</v>
      </c>
      <c r="H30" s="9" t="s">
        <v>5</v>
      </c>
      <c r="I30" s="13" t="s">
        <v>121</v>
      </c>
      <c r="J30" s="13" t="s">
        <v>151</v>
      </c>
    </row>
    <row r="31" customFormat="false" ht="30" hidden="false" customHeight="true" outlineLevel="0" collapsed="false">
      <c r="A31" s="9" t="s">
        <v>152</v>
      </c>
      <c r="B31" s="12" t="s">
        <v>12</v>
      </c>
      <c r="C31" s="12" t="s">
        <v>56</v>
      </c>
      <c r="D31" s="13" t="s">
        <v>153</v>
      </c>
      <c r="E31" s="13" t="s">
        <v>154</v>
      </c>
      <c r="F31" s="9" t="s">
        <v>77</v>
      </c>
      <c r="G31" s="9" t="s">
        <v>45</v>
      </c>
      <c r="H31" s="9" t="s">
        <v>5</v>
      </c>
      <c r="I31" s="13" t="s">
        <v>148</v>
      </c>
      <c r="J31" s="13"/>
    </row>
    <row r="32" customFormat="false" ht="30" hidden="false" customHeight="true" outlineLevel="0" collapsed="false">
      <c r="A32" s="9" t="s">
        <v>155</v>
      </c>
      <c r="B32" s="12" t="s">
        <v>12</v>
      </c>
      <c r="C32" s="12" t="s">
        <v>56</v>
      </c>
      <c r="D32" s="13" t="s">
        <v>156</v>
      </c>
      <c r="E32" s="13" t="s">
        <v>157</v>
      </c>
      <c r="F32" s="9" t="s">
        <v>77</v>
      </c>
      <c r="G32" s="9" t="s">
        <v>45</v>
      </c>
      <c r="H32" s="9" t="s">
        <v>5</v>
      </c>
      <c r="I32" s="13" t="s">
        <v>148</v>
      </c>
      <c r="J32" s="13"/>
    </row>
    <row r="33" customFormat="false" ht="30" hidden="false" customHeight="true" outlineLevel="0" collapsed="false">
      <c r="A33" s="9" t="s">
        <v>158</v>
      </c>
      <c r="B33" s="12" t="s">
        <v>12</v>
      </c>
      <c r="C33" s="12" t="s">
        <v>56</v>
      </c>
      <c r="D33" s="13" t="s">
        <v>159</v>
      </c>
      <c r="E33" s="13" t="s">
        <v>160</v>
      </c>
      <c r="F33" s="9" t="s">
        <v>77</v>
      </c>
      <c r="G33" s="9" t="s">
        <v>45</v>
      </c>
      <c r="H33" s="9" t="s">
        <v>5</v>
      </c>
      <c r="I33" s="13" t="s">
        <v>161</v>
      </c>
      <c r="J33" s="13"/>
    </row>
    <row r="34" customFormat="false" ht="30" hidden="false" customHeight="true" outlineLevel="0" collapsed="false">
      <c r="A34" s="9" t="s">
        <v>162</v>
      </c>
      <c r="B34" s="12" t="s">
        <v>12</v>
      </c>
      <c r="C34" s="12" t="s">
        <v>56</v>
      </c>
      <c r="D34" s="13" t="s">
        <v>163</v>
      </c>
      <c r="E34" s="13" t="s">
        <v>164</v>
      </c>
      <c r="F34" s="9" t="s">
        <v>77</v>
      </c>
      <c r="G34" s="9" t="s">
        <v>83</v>
      </c>
      <c r="H34" s="9" t="s">
        <v>5</v>
      </c>
      <c r="I34" s="13" t="s">
        <v>148</v>
      </c>
      <c r="J34" s="13"/>
    </row>
    <row r="35" customFormat="false" ht="30" hidden="false" customHeight="true" outlineLevel="0" collapsed="false">
      <c r="A35" s="9" t="s">
        <v>165</v>
      </c>
      <c r="B35" s="12" t="s">
        <v>12</v>
      </c>
      <c r="C35" s="12" t="s">
        <v>56</v>
      </c>
      <c r="D35" s="13" t="s">
        <v>166</v>
      </c>
      <c r="E35" s="13" t="s">
        <v>167</v>
      </c>
      <c r="F35" s="9" t="s">
        <v>44</v>
      </c>
      <c r="G35" s="9" t="s">
        <v>168</v>
      </c>
      <c r="H35" s="9" t="s">
        <v>5</v>
      </c>
      <c r="I35" s="13" t="s">
        <v>162</v>
      </c>
      <c r="J35" s="13" t="s">
        <v>169</v>
      </c>
    </row>
    <row r="36" customFormat="false" ht="30" hidden="false" customHeight="true" outlineLevel="0" collapsed="false">
      <c r="A36" s="9" t="s">
        <v>170</v>
      </c>
      <c r="B36" s="12" t="s">
        <v>12</v>
      </c>
      <c r="C36" s="12" t="s">
        <v>74</v>
      </c>
      <c r="D36" s="13" t="s">
        <v>171</v>
      </c>
      <c r="E36" s="13" t="s">
        <v>172</v>
      </c>
      <c r="F36" s="9" t="s">
        <v>44</v>
      </c>
      <c r="G36" s="9" t="s">
        <v>83</v>
      </c>
      <c r="H36" s="9" t="s">
        <v>5</v>
      </c>
      <c r="I36" s="13" t="s">
        <v>121</v>
      </c>
      <c r="J36" s="13"/>
    </row>
    <row r="37" customFormat="false" ht="30" hidden="false" customHeight="true" outlineLevel="0" collapsed="false">
      <c r="A37" s="9" t="s">
        <v>173</v>
      </c>
      <c r="B37" s="12" t="s">
        <v>12</v>
      </c>
      <c r="C37" s="12" t="s">
        <v>74</v>
      </c>
      <c r="D37" s="13" t="s">
        <v>174</v>
      </c>
      <c r="E37" s="13" t="s">
        <v>175</v>
      </c>
      <c r="F37" s="9" t="s">
        <v>77</v>
      </c>
      <c r="G37" s="9" t="s">
        <v>45</v>
      </c>
      <c r="H37" s="9" t="s">
        <v>5</v>
      </c>
      <c r="I37" s="13" t="s">
        <v>176</v>
      </c>
      <c r="J37" s="13"/>
    </row>
    <row r="38" customFormat="false" ht="30" hidden="false" customHeight="true" outlineLevel="0" collapsed="false">
      <c r="A38" s="9" t="s">
        <v>177</v>
      </c>
      <c r="B38" s="12" t="s">
        <v>12</v>
      </c>
      <c r="C38" s="12" t="s">
        <v>74</v>
      </c>
      <c r="D38" s="13" t="s">
        <v>178</v>
      </c>
      <c r="E38" s="13" t="s">
        <v>179</v>
      </c>
      <c r="F38" s="9" t="s">
        <v>77</v>
      </c>
      <c r="G38" s="9" t="s">
        <v>45</v>
      </c>
      <c r="H38" s="9" t="s">
        <v>5</v>
      </c>
      <c r="I38" s="13" t="s">
        <v>180</v>
      </c>
      <c r="J38" s="13"/>
    </row>
    <row r="39" customFormat="false" ht="30" hidden="false" customHeight="true" outlineLevel="0" collapsed="false">
      <c r="A39" s="9" t="s">
        <v>181</v>
      </c>
      <c r="B39" s="12" t="s">
        <v>12</v>
      </c>
      <c r="C39" s="12" t="s">
        <v>74</v>
      </c>
      <c r="D39" s="13" t="s">
        <v>182</v>
      </c>
      <c r="E39" s="13" t="s">
        <v>183</v>
      </c>
      <c r="F39" s="9" t="s">
        <v>77</v>
      </c>
      <c r="G39" s="9" t="s">
        <v>83</v>
      </c>
      <c r="H39" s="9" t="s">
        <v>5</v>
      </c>
      <c r="I39" s="13" t="s">
        <v>177</v>
      </c>
      <c r="J39" s="13"/>
    </row>
    <row r="40" customFormat="false" ht="30" hidden="false" customHeight="true" outlineLevel="0" collapsed="false">
      <c r="A40" s="9" t="s">
        <v>184</v>
      </c>
      <c r="B40" s="12" t="s">
        <v>13</v>
      </c>
      <c r="C40" s="12" t="s">
        <v>56</v>
      </c>
      <c r="D40" s="13" t="s">
        <v>185</v>
      </c>
      <c r="E40" s="13" t="s">
        <v>186</v>
      </c>
      <c r="F40" s="9" t="s">
        <v>77</v>
      </c>
      <c r="G40" s="9" t="s">
        <v>83</v>
      </c>
      <c r="H40" s="9" t="s">
        <v>5</v>
      </c>
      <c r="I40" s="13" t="s">
        <v>130</v>
      </c>
      <c r="J40" s="13"/>
    </row>
    <row r="41" customFormat="false" ht="30" hidden="false" customHeight="true" outlineLevel="0" collapsed="false">
      <c r="A41" s="9" t="s">
        <v>187</v>
      </c>
      <c r="B41" s="12" t="s">
        <v>13</v>
      </c>
      <c r="C41" s="12" t="s">
        <v>56</v>
      </c>
      <c r="D41" s="13" t="s">
        <v>188</v>
      </c>
      <c r="E41" s="13" t="s">
        <v>189</v>
      </c>
      <c r="F41" s="9" t="s">
        <v>77</v>
      </c>
      <c r="G41" s="9" t="s">
        <v>83</v>
      </c>
      <c r="H41" s="9" t="s">
        <v>5</v>
      </c>
      <c r="I41" s="13" t="s">
        <v>190</v>
      </c>
      <c r="J41" s="13"/>
    </row>
    <row r="42" customFormat="false" ht="30" hidden="false" customHeight="true" outlineLevel="0" collapsed="false">
      <c r="A42" s="9" t="s">
        <v>191</v>
      </c>
      <c r="B42" s="12" t="s">
        <v>13</v>
      </c>
      <c r="C42" s="12" t="s">
        <v>56</v>
      </c>
      <c r="D42" s="13" t="s">
        <v>192</v>
      </c>
      <c r="E42" s="13" t="s">
        <v>193</v>
      </c>
      <c r="F42" s="9" t="s">
        <v>77</v>
      </c>
      <c r="G42" s="9" t="s">
        <v>83</v>
      </c>
      <c r="H42" s="9" t="s">
        <v>5</v>
      </c>
      <c r="I42" s="13" t="s">
        <v>184</v>
      </c>
      <c r="J42" s="13"/>
    </row>
    <row r="43" customFormat="false" ht="30" hidden="false" customHeight="true" outlineLevel="0" collapsed="false">
      <c r="A43" s="9" t="s">
        <v>194</v>
      </c>
      <c r="B43" s="12" t="s">
        <v>13</v>
      </c>
      <c r="C43" s="12" t="s">
        <v>56</v>
      </c>
      <c r="D43" s="13" t="s">
        <v>195</v>
      </c>
      <c r="E43" s="13" t="s">
        <v>196</v>
      </c>
      <c r="F43" s="9" t="s">
        <v>77</v>
      </c>
      <c r="G43" s="9" t="s">
        <v>83</v>
      </c>
      <c r="H43" s="9" t="s">
        <v>5</v>
      </c>
      <c r="I43" s="13" t="s">
        <v>191</v>
      </c>
      <c r="J43" s="13"/>
    </row>
    <row r="44" customFormat="false" ht="30" hidden="false" customHeight="true" outlineLevel="0" collapsed="false">
      <c r="A44" s="9" t="s">
        <v>197</v>
      </c>
      <c r="B44" s="12" t="s">
        <v>13</v>
      </c>
      <c r="C44" s="12" t="s">
        <v>56</v>
      </c>
      <c r="D44" s="13" t="s">
        <v>198</v>
      </c>
      <c r="E44" s="13" t="s">
        <v>199</v>
      </c>
      <c r="F44" s="9" t="s">
        <v>44</v>
      </c>
      <c r="G44" s="9" t="s">
        <v>83</v>
      </c>
      <c r="H44" s="9" t="s">
        <v>5</v>
      </c>
      <c r="I44" s="13" t="s">
        <v>184</v>
      </c>
      <c r="J44" s="13"/>
    </row>
    <row r="45" customFormat="false" ht="30" hidden="false" customHeight="true" outlineLevel="0" collapsed="false">
      <c r="A45" s="9" t="s">
        <v>200</v>
      </c>
      <c r="B45" s="12" t="s">
        <v>13</v>
      </c>
      <c r="C45" s="12" t="s">
        <v>56</v>
      </c>
      <c r="D45" s="13" t="s">
        <v>201</v>
      </c>
      <c r="E45" s="13" t="s">
        <v>202</v>
      </c>
      <c r="F45" s="9" t="s">
        <v>44</v>
      </c>
      <c r="G45" s="9" t="s">
        <v>87</v>
      </c>
      <c r="H45" s="9" t="s">
        <v>5</v>
      </c>
      <c r="I45" s="13" t="s">
        <v>203</v>
      </c>
      <c r="J45" s="13"/>
    </row>
    <row r="46" customFormat="false" ht="30" hidden="false" customHeight="true" outlineLevel="0" collapsed="false">
      <c r="A46" s="9" t="s">
        <v>204</v>
      </c>
      <c r="B46" s="12" t="s">
        <v>13</v>
      </c>
      <c r="C46" s="12" t="s">
        <v>74</v>
      </c>
      <c r="D46" s="13" t="s">
        <v>205</v>
      </c>
      <c r="E46" s="13" t="s">
        <v>206</v>
      </c>
      <c r="F46" s="9" t="s">
        <v>77</v>
      </c>
      <c r="G46" s="9" t="s">
        <v>83</v>
      </c>
      <c r="H46" s="9" t="s">
        <v>5</v>
      </c>
      <c r="I46" s="13" t="s">
        <v>207</v>
      </c>
      <c r="J46" s="13"/>
    </row>
    <row r="47" customFormat="false" ht="30" hidden="false" customHeight="true" outlineLevel="0" collapsed="false">
      <c r="A47" s="9" t="s">
        <v>208</v>
      </c>
      <c r="B47" s="12" t="s">
        <v>14</v>
      </c>
      <c r="C47" s="12" t="s">
        <v>56</v>
      </c>
      <c r="D47" s="13" t="s">
        <v>209</v>
      </c>
      <c r="E47" s="13" t="s">
        <v>210</v>
      </c>
      <c r="F47" s="9" t="s">
        <v>77</v>
      </c>
      <c r="G47" s="9" t="s">
        <v>83</v>
      </c>
      <c r="H47" s="9" t="s">
        <v>5</v>
      </c>
      <c r="I47" s="13" t="s">
        <v>46</v>
      </c>
      <c r="J47" s="13" t="s">
        <v>211</v>
      </c>
    </row>
    <row r="48" customFormat="false" ht="30" hidden="false" customHeight="true" outlineLevel="0" collapsed="false">
      <c r="A48" s="9" t="s">
        <v>212</v>
      </c>
      <c r="B48" s="12" t="s">
        <v>14</v>
      </c>
      <c r="C48" s="12" t="s">
        <v>56</v>
      </c>
      <c r="D48" s="13" t="s">
        <v>213</v>
      </c>
      <c r="E48" s="13" t="s">
        <v>214</v>
      </c>
      <c r="F48" s="9" t="s">
        <v>44</v>
      </c>
      <c r="G48" s="9" t="s">
        <v>83</v>
      </c>
      <c r="H48" s="9" t="s">
        <v>5</v>
      </c>
      <c r="I48" s="13" t="s">
        <v>208</v>
      </c>
      <c r="J48" s="13"/>
    </row>
    <row r="49" customFormat="false" ht="30" hidden="false" customHeight="true" outlineLevel="0" collapsed="false">
      <c r="A49" s="9" t="s">
        <v>215</v>
      </c>
      <c r="B49" s="12" t="s">
        <v>14</v>
      </c>
      <c r="C49" s="12" t="s">
        <v>56</v>
      </c>
      <c r="D49" s="13" t="s">
        <v>216</v>
      </c>
      <c r="E49" s="13" t="s">
        <v>217</v>
      </c>
      <c r="F49" s="9" t="s">
        <v>218</v>
      </c>
      <c r="G49" s="9" t="s">
        <v>83</v>
      </c>
      <c r="H49" s="9" t="s">
        <v>3</v>
      </c>
      <c r="I49" s="13" t="s">
        <v>46</v>
      </c>
      <c r="J49" s="13" t="s">
        <v>219</v>
      </c>
    </row>
    <row r="50" customFormat="false" ht="30" hidden="false" customHeight="true" outlineLevel="0" collapsed="false">
      <c r="A50" s="9" t="s">
        <v>220</v>
      </c>
      <c r="B50" s="12" t="s">
        <v>14</v>
      </c>
      <c r="C50" s="12" t="s">
        <v>56</v>
      </c>
      <c r="D50" s="13" t="s">
        <v>221</v>
      </c>
      <c r="E50" s="13" t="s">
        <v>222</v>
      </c>
      <c r="F50" s="9" t="s">
        <v>218</v>
      </c>
      <c r="G50" s="9" t="s">
        <v>223</v>
      </c>
      <c r="H50" s="9" t="s">
        <v>5</v>
      </c>
      <c r="I50" s="13" t="s">
        <v>215</v>
      </c>
      <c r="J50" s="13" t="s">
        <v>224</v>
      </c>
    </row>
    <row r="51" customFormat="false" ht="30" hidden="false" customHeight="true" outlineLevel="0" collapsed="false">
      <c r="A51" s="9" t="s">
        <v>225</v>
      </c>
      <c r="B51" s="12" t="s">
        <v>14</v>
      </c>
      <c r="C51" s="12" t="s">
        <v>56</v>
      </c>
      <c r="D51" s="13" t="s">
        <v>226</v>
      </c>
      <c r="E51" s="13" t="s">
        <v>227</v>
      </c>
      <c r="F51" s="9" t="s">
        <v>77</v>
      </c>
      <c r="G51" s="9" t="s">
        <v>83</v>
      </c>
      <c r="H51" s="9" t="s">
        <v>5</v>
      </c>
      <c r="I51" s="13" t="s">
        <v>228</v>
      </c>
      <c r="J51" s="13"/>
    </row>
    <row r="52" customFormat="false" ht="30" hidden="false" customHeight="true" outlineLevel="0" collapsed="false">
      <c r="A52" s="9" t="s">
        <v>229</v>
      </c>
      <c r="B52" s="12" t="s">
        <v>14</v>
      </c>
      <c r="C52" s="12" t="s">
        <v>56</v>
      </c>
      <c r="D52" s="13" t="s">
        <v>230</v>
      </c>
      <c r="E52" s="13" t="s">
        <v>231</v>
      </c>
      <c r="F52" s="9" t="s">
        <v>44</v>
      </c>
      <c r="G52" s="9" t="s">
        <v>168</v>
      </c>
      <c r="H52" s="9" t="s">
        <v>5</v>
      </c>
      <c r="I52" s="13" t="s">
        <v>225</v>
      </c>
      <c r="J52" s="13"/>
    </row>
    <row r="53" customFormat="false" ht="30" hidden="false" customHeight="true" outlineLevel="0" collapsed="false">
      <c r="A53" s="9" t="s">
        <v>232</v>
      </c>
      <c r="B53" s="12" t="s">
        <v>14</v>
      </c>
      <c r="C53" s="12" t="s">
        <v>74</v>
      </c>
      <c r="D53" s="13" t="s">
        <v>233</v>
      </c>
      <c r="E53" s="13"/>
      <c r="F53" s="9" t="s">
        <v>44</v>
      </c>
      <c r="G53" s="9" t="s">
        <v>83</v>
      </c>
      <c r="H53" s="9" t="s">
        <v>5</v>
      </c>
      <c r="I53" s="13" t="s">
        <v>225</v>
      </c>
      <c r="J53" s="13"/>
    </row>
    <row r="54" customFormat="false" ht="30" hidden="false" customHeight="true" outlineLevel="0" collapsed="false">
      <c r="A54" s="9" t="s">
        <v>234</v>
      </c>
      <c r="B54" s="12" t="s">
        <v>14</v>
      </c>
      <c r="C54" s="12" t="s">
        <v>56</v>
      </c>
      <c r="D54" s="13" t="s">
        <v>235</v>
      </c>
      <c r="E54" s="13" t="s">
        <v>236</v>
      </c>
      <c r="F54" s="9" t="s">
        <v>77</v>
      </c>
      <c r="G54" s="9" t="s">
        <v>87</v>
      </c>
      <c r="H54" s="9" t="s">
        <v>5</v>
      </c>
      <c r="I54" s="13" t="s">
        <v>121</v>
      </c>
      <c r="J54" s="13" t="s">
        <v>237</v>
      </c>
    </row>
    <row r="55" customFormat="false" ht="30" hidden="false" customHeight="true" outlineLevel="0" collapsed="false">
      <c r="A55" s="9" t="s">
        <v>238</v>
      </c>
      <c r="B55" s="12" t="s">
        <v>14</v>
      </c>
      <c r="C55" s="12" t="s">
        <v>56</v>
      </c>
      <c r="D55" s="13" t="s">
        <v>239</v>
      </c>
      <c r="E55" s="13" t="s">
        <v>240</v>
      </c>
      <c r="F55" s="9" t="s">
        <v>77</v>
      </c>
      <c r="G55" s="9" t="s">
        <v>87</v>
      </c>
      <c r="H55" s="9" t="s">
        <v>5</v>
      </c>
      <c r="I55" s="13" t="s">
        <v>234</v>
      </c>
      <c r="J55" s="13"/>
    </row>
    <row r="56" customFormat="false" ht="30" hidden="false" customHeight="true" outlineLevel="0" collapsed="false">
      <c r="A56" s="9" t="s">
        <v>241</v>
      </c>
      <c r="B56" s="12" t="s">
        <v>14</v>
      </c>
      <c r="C56" s="12" t="s">
        <v>74</v>
      </c>
      <c r="D56" s="13" t="s">
        <v>242</v>
      </c>
      <c r="E56" s="13"/>
      <c r="F56" s="9" t="s">
        <v>44</v>
      </c>
      <c r="G56" s="9" t="s">
        <v>87</v>
      </c>
      <c r="H56" s="9" t="s">
        <v>5</v>
      </c>
      <c r="I56" s="13" t="s">
        <v>234</v>
      </c>
      <c r="J56" s="13"/>
    </row>
    <row r="57" customFormat="false" ht="30" hidden="false" customHeight="true" outlineLevel="0" collapsed="false">
      <c r="A57" s="9" t="s">
        <v>243</v>
      </c>
      <c r="B57" s="12" t="s">
        <v>14</v>
      </c>
      <c r="C57" s="12" t="s">
        <v>56</v>
      </c>
      <c r="D57" s="13" t="s">
        <v>244</v>
      </c>
      <c r="E57" s="13" t="s">
        <v>245</v>
      </c>
      <c r="F57" s="9" t="s">
        <v>44</v>
      </c>
      <c r="G57" s="9" t="s">
        <v>87</v>
      </c>
      <c r="H57" s="9" t="s">
        <v>5</v>
      </c>
      <c r="I57" s="13" t="s">
        <v>105</v>
      </c>
      <c r="J57" s="13"/>
    </row>
    <row r="58" customFormat="false" ht="30" hidden="false" customHeight="true" outlineLevel="0" collapsed="false">
      <c r="A58" s="9" t="s">
        <v>246</v>
      </c>
      <c r="B58" s="12" t="s">
        <v>14</v>
      </c>
      <c r="C58" s="12" t="s">
        <v>56</v>
      </c>
      <c r="D58" s="13" t="s">
        <v>247</v>
      </c>
      <c r="E58" s="13" t="s">
        <v>248</v>
      </c>
      <c r="F58" s="9" t="s">
        <v>77</v>
      </c>
      <c r="G58" s="9" t="s">
        <v>87</v>
      </c>
      <c r="H58" s="9" t="s">
        <v>5</v>
      </c>
      <c r="I58" s="13" t="s">
        <v>105</v>
      </c>
      <c r="J58" s="13"/>
    </row>
    <row r="59" customFormat="false" ht="30" hidden="false" customHeight="true" outlineLevel="0" collapsed="false">
      <c r="A59" s="9" t="s">
        <v>249</v>
      </c>
      <c r="B59" s="12" t="s">
        <v>14</v>
      </c>
      <c r="C59" s="12" t="s">
        <v>56</v>
      </c>
      <c r="D59" s="13" t="s">
        <v>250</v>
      </c>
      <c r="E59" s="13" t="s">
        <v>251</v>
      </c>
      <c r="F59" s="9" t="s">
        <v>44</v>
      </c>
      <c r="G59" s="9" t="s">
        <v>168</v>
      </c>
      <c r="H59" s="9" t="s">
        <v>5</v>
      </c>
      <c r="I59" s="13" t="s">
        <v>46</v>
      </c>
      <c r="J59" s="13"/>
    </row>
    <row r="60" customFormat="false" ht="30" hidden="false" customHeight="true" outlineLevel="0" collapsed="false">
      <c r="A60" s="9" t="s">
        <v>252</v>
      </c>
      <c r="B60" s="12" t="s">
        <v>14</v>
      </c>
      <c r="C60" s="12" t="s">
        <v>56</v>
      </c>
      <c r="D60" s="13" t="s">
        <v>253</v>
      </c>
      <c r="E60" s="13" t="s">
        <v>254</v>
      </c>
      <c r="F60" s="9" t="s">
        <v>44</v>
      </c>
      <c r="G60" s="9" t="s">
        <v>168</v>
      </c>
      <c r="H60" s="9" t="s">
        <v>5</v>
      </c>
      <c r="I60" s="13" t="s">
        <v>105</v>
      </c>
      <c r="J60" s="13"/>
    </row>
    <row r="61" customFormat="false" ht="30" hidden="false" customHeight="true" outlineLevel="0" collapsed="false">
      <c r="A61" s="9" t="s">
        <v>255</v>
      </c>
      <c r="B61" s="12" t="s">
        <v>14</v>
      </c>
      <c r="C61" s="12" t="s">
        <v>74</v>
      </c>
      <c r="D61" s="13" t="s">
        <v>256</v>
      </c>
      <c r="E61" s="13"/>
      <c r="F61" s="9" t="s">
        <v>44</v>
      </c>
      <c r="G61" s="9" t="s">
        <v>87</v>
      </c>
      <c r="H61" s="9" t="s">
        <v>5</v>
      </c>
      <c r="I61" s="13" t="s">
        <v>257</v>
      </c>
      <c r="J61" s="13"/>
    </row>
    <row r="62" customFormat="false" ht="30" hidden="false" customHeight="true" outlineLevel="0" collapsed="false">
      <c r="A62" s="9" t="s">
        <v>258</v>
      </c>
      <c r="B62" s="12" t="s">
        <v>15</v>
      </c>
      <c r="C62" s="12" t="s">
        <v>56</v>
      </c>
      <c r="D62" s="13" t="s">
        <v>259</v>
      </c>
      <c r="E62" s="13" t="s">
        <v>260</v>
      </c>
      <c r="F62" s="9" t="s">
        <v>77</v>
      </c>
      <c r="G62" s="9" t="s">
        <v>87</v>
      </c>
      <c r="H62" s="9" t="s">
        <v>5</v>
      </c>
      <c r="I62" s="13" t="s">
        <v>261</v>
      </c>
      <c r="J62" s="13"/>
    </row>
    <row r="63" customFormat="false" ht="30" hidden="false" customHeight="true" outlineLevel="0" collapsed="false">
      <c r="A63" s="9" t="s">
        <v>262</v>
      </c>
      <c r="B63" s="12" t="s">
        <v>15</v>
      </c>
      <c r="C63" s="12" t="s">
        <v>56</v>
      </c>
      <c r="D63" s="13" t="s">
        <v>263</v>
      </c>
      <c r="E63" s="13" t="s">
        <v>264</v>
      </c>
      <c r="F63" s="9" t="s">
        <v>77</v>
      </c>
      <c r="G63" s="9" t="s">
        <v>87</v>
      </c>
      <c r="H63" s="9" t="s">
        <v>5</v>
      </c>
      <c r="I63" s="13" t="s">
        <v>261</v>
      </c>
      <c r="J63" s="13"/>
    </row>
    <row r="64" customFormat="false" ht="30" hidden="false" customHeight="true" outlineLevel="0" collapsed="false">
      <c r="A64" s="9" t="s">
        <v>265</v>
      </c>
      <c r="B64" s="12" t="s">
        <v>15</v>
      </c>
      <c r="C64" s="12" t="s">
        <v>56</v>
      </c>
      <c r="D64" s="13" t="s">
        <v>266</v>
      </c>
      <c r="E64" s="13" t="s">
        <v>267</v>
      </c>
      <c r="F64" s="9" t="s">
        <v>77</v>
      </c>
      <c r="G64" s="9" t="s">
        <v>87</v>
      </c>
      <c r="H64" s="9" t="s">
        <v>5</v>
      </c>
      <c r="I64" s="13" t="s">
        <v>46</v>
      </c>
      <c r="J64" s="13"/>
    </row>
    <row r="65" customFormat="false" ht="30" hidden="false" customHeight="true" outlineLevel="0" collapsed="false">
      <c r="A65" s="9" t="s">
        <v>261</v>
      </c>
      <c r="B65" s="12" t="s">
        <v>15</v>
      </c>
      <c r="C65" s="12" t="s">
        <v>56</v>
      </c>
      <c r="D65" s="13" t="s">
        <v>268</v>
      </c>
      <c r="E65" s="13" t="s">
        <v>269</v>
      </c>
      <c r="F65" s="9" t="s">
        <v>77</v>
      </c>
      <c r="G65" s="9" t="s">
        <v>83</v>
      </c>
      <c r="H65" s="9" t="s">
        <v>5</v>
      </c>
      <c r="I65" s="13" t="s">
        <v>46</v>
      </c>
      <c r="J65" s="13" t="s">
        <v>270</v>
      </c>
    </row>
    <row r="66" customFormat="false" ht="30" hidden="false" customHeight="true" outlineLevel="0" collapsed="false">
      <c r="A66" s="9" t="s">
        <v>271</v>
      </c>
      <c r="B66" s="12" t="s">
        <v>15</v>
      </c>
      <c r="C66" s="12" t="s">
        <v>74</v>
      </c>
      <c r="D66" s="13" t="s">
        <v>272</v>
      </c>
      <c r="E66" s="13"/>
      <c r="F66" s="9" t="s">
        <v>44</v>
      </c>
      <c r="G66" s="9" t="s">
        <v>87</v>
      </c>
      <c r="H66" s="9" t="s">
        <v>5</v>
      </c>
      <c r="I66" s="13" t="s">
        <v>273</v>
      </c>
      <c r="J66" s="13"/>
    </row>
    <row r="67" customFormat="false" ht="30" hidden="false" customHeight="true" outlineLevel="0" collapsed="false">
      <c r="A67" s="9" t="s">
        <v>274</v>
      </c>
      <c r="B67" s="12" t="s">
        <v>16</v>
      </c>
      <c r="C67" s="12" t="s">
        <v>56</v>
      </c>
      <c r="D67" s="13" t="s">
        <v>275</v>
      </c>
      <c r="E67" s="13" t="s">
        <v>276</v>
      </c>
      <c r="F67" s="9" t="s">
        <v>77</v>
      </c>
      <c r="G67" s="9" t="s">
        <v>87</v>
      </c>
      <c r="H67" s="9" t="s">
        <v>5</v>
      </c>
      <c r="I67" s="13" t="s">
        <v>46</v>
      </c>
      <c r="J67" s="13"/>
    </row>
    <row r="68" customFormat="false" ht="30" hidden="false" customHeight="true" outlineLevel="0" collapsed="false">
      <c r="A68" s="9" t="s">
        <v>277</v>
      </c>
      <c r="B68" s="12" t="s">
        <v>16</v>
      </c>
      <c r="C68" s="12" t="s">
        <v>56</v>
      </c>
      <c r="D68" s="13" t="s">
        <v>278</v>
      </c>
      <c r="E68" s="13" t="s">
        <v>279</v>
      </c>
      <c r="F68" s="9" t="s">
        <v>44</v>
      </c>
      <c r="G68" s="9" t="s">
        <v>87</v>
      </c>
      <c r="H68" s="9" t="s">
        <v>5</v>
      </c>
      <c r="I68" s="13" t="s">
        <v>130</v>
      </c>
      <c r="J68" s="13"/>
    </row>
    <row r="69" customFormat="false" ht="30" hidden="false" customHeight="true" outlineLevel="0" collapsed="false">
      <c r="A69" s="9" t="s">
        <v>280</v>
      </c>
      <c r="B69" s="12" t="s">
        <v>16</v>
      </c>
      <c r="C69" s="12" t="s">
        <v>56</v>
      </c>
      <c r="D69" s="13" t="s">
        <v>281</v>
      </c>
      <c r="E69" s="13" t="s">
        <v>282</v>
      </c>
      <c r="F69" s="9" t="s">
        <v>218</v>
      </c>
      <c r="G69" s="9" t="s">
        <v>87</v>
      </c>
      <c r="H69" s="9" t="s">
        <v>5</v>
      </c>
      <c r="I69" s="13" t="s">
        <v>274</v>
      </c>
      <c r="J69" s="13"/>
    </row>
    <row r="70" customFormat="false" ht="30" hidden="false" customHeight="true" outlineLevel="0" collapsed="false">
      <c r="A70" s="9" t="s">
        <v>283</v>
      </c>
      <c r="B70" s="12" t="s">
        <v>16</v>
      </c>
      <c r="C70" s="12" t="s">
        <v>56</v>
      </c>
      <c r="D70" s="13" t="s">
        <v>284</v>
      </c>
      <c r="E70" s="13" t="s">
        <v>285</v>
      </c>
      <c r="F70" s="9" t="s">
        <v>218</v>
      </c>
      <c r="G70" s="9" t="s">
        <v>87</v>
      </c>
      <c r="H70" s="9" t="s">
        <v>5</v>
      </c>
      <c r="I70" s="13" t="s">
        <v>280</v>
      </c>
      <c r="J70" s="13"/>
    </row>
    <row r="71" customFormat="false" ht="30" hidden="false" customHeight="true" outlineLevel="0" collapsed="false">
      <c r="A71" s="9" t="s">
        <v>286</v>
      </c>
      <c r="B71" s="12" t="s">
        <v>16</v>
      </c>
      <c r="C71" s="12" t="s">
        <v>56</v>
      </c>
      <c r="D71" s="13" t="s">
        <v>287</v>
      </c>
      <c r="E71" s="13" t="s">
        <v>288</v>
      </c>
      <c r="F71" s="9" t="s">
        <v>77</v>
      </c>
      <c r="G71" s="9" t="s">
        <v>87</v>
      </c>
      <c r="H71" s="9" t="s">
        <v>5</v>
      </c>
      <c r="I71" s="13" t="s">
        <v>280</v>
      </c>
      <c r="J71" s="13"/>
    </row>
    <row r="72" customFormat="false" ht="30" hidden="false" customHeight="true" outlineLevel="0" collapsed="false">
      <c r="A72" s="9" t="s">
        <v>289</v>
      </c>
      <c r="B72" s="12" t="s">
        <v>16</v>
      </c>
      <c r="C72" s="12" t="s">
        <v>56</v>
      </c>
      <c r="D72" s="13" t="s">
        <v>290</v>
      </c>
      <c r="E72" s="13" t="s">
        <v>291</v>
      </c>
      <c r="F72" s="9" t="s">
        <v>77</v>
      </c>
      <c r="G72" s="9" t="s">
        <v>87</v>
      </c>
      <c r="H72" s="9" t="s">
        <v>5</v>
      </c>
      <c r="I72" s="13" t="s">
        <v>274</v>
      </c>
      <c r="J72" s="13"/>
    </row>
    <row r="73" customFormat="false" ht="30" hidden="false" customHeight="true" outlineLevel="0" collapsed="false">
      <c r="A73" s="9" t="s">
        <v>292</v>
      </c>
      <c r="B73" s="12" t="s">
        <v>16</v>
      </c>
      <c r="C73" s="12" t="s">
        <v>56</v>
      </c>
      <c r="D73" s="13" t="s">
        <v>293</v>
      </c>
      <c r="E73" s="13" t="s">
        <v>294</v>
      </c>
      <c r="F73" s="9" t="s">
        <v>218</v>
      </c>
      <c r="G73" s="9" t="s">
        <v>83</v>
      </c>
      <c r="H73" s="9" t="s">
        <v>5</v>
      </c>
      <c r="I73" s="13" t="s">
        <v>280</v>
      </c>
      <c r="J73" s="13" t="s">
        <v>295</v>
      </c>
    </row>
    <row r="74" customFormat="false" ht="30" hidden="false" customHeight="true" outlineLevel="0" collapsed="false">
      <c r="A74" s="9" t="s">
        <v>296</v>
      </c>
      <c r="B74" s="12" t="s">
        <v>16</v>
      </c>
      <c r="C74" s="12" t="s">
        <v>56</v>
      </c>
      <c r="D74" s="13" t="s">
        <v>297</v>
      </c>
      <c r="E74" s="13" t="s">
        <v>298</v>
      </c>
      <c r="F74" s="9" t="s">
        <v>44</v>
      </c>
      <c r="G74" s="9" t="s">
        <v>83</v>
      </c>
      <c r="H74" s="9" t="s">
        <v>5</v>
      </c>
      <c r="I74" s="13" t="s">
        <v>46</v>
      </c>
      <c r="J74" s="13" t="s">
        <v>299</v>
      </c>
    </row>
    <row r="75" customFormat="false" ht="30" hidden="false" customHeight="true" outlineLevel="0" collapsed="false">
      <c r="A75" s="9" t="s">
        <v>300</v>
      </c>
      <c r="B75" s="12" t="s">
        <v>16</v>
      </c>
      <c r="C75" s="12" t="s">
        <v>56</v>
      </c>
      <c r="D75" s="13" t="s">
        <v>301</v>
      </c>
      <c r="E75" s="13"/>
      <c r="F75" s="9" t="s">
        <v>44</v>
      </c>
      <c r="G75" s="9" t="s">
        <v>87</v>
      </c>
      <c r="H75" s="9" t="s">
        <v>5</v>
      </c>
      <c r="I75" s="13" t="s">
        <v>274</v>
      </c>
      <c r="J75" s="13"/>
    </row>
    <row r="76" customFormat="false" ht="30" hidden="false" customHeight="true" outlineLevel="0" collapsed="false">
      <c r="A76" s="9" t="s">
        <v>302</v>
      </c>
      <c r="B76" s="12" t="s">
        <v>16</v>
      </c>
      <c r="C76" s="12" t="s">
        <v>74</v>
      </c>
      <c r="D76" s="13" t="s">
        <v>303</v>
      </c>
      <c r="E76" s="13" t="s">
        <v>304</v>
      </c>
      <c r="F76" s="9" t="s">
        <v>218</v>
      </c>
      <c r="G76" s="9" t="s">
        <v>83</v>
      </c>
      <c r="H76" s="9" t="s">
        <v>5</v>
      </c>
      <c r="I76" s="13" t="s">
        <v>280</v>
      </c>
      <c r="J76" s="13" t="s">
        <v>305</v>
      </c>
    </row>
    <row r="77" customFormat="false" ht="30" hidden="false" customHeight="true" outlineLevel="0" collapsed="false">
      <c r="A77" s="9" t="s">
        <v>306</v>
      </c>
      <c r="B77" s="12" t="s">
        <v>17</v>
      </c>
      <c r="C77" s="12" t="s">
        <v>56</v>
      </c>
      <c r="D77" s="13" t="s">
        <v>307</v>
      </c>
      <c r="E77" s="13" t="s">
        <v>308</v>
      </c>
      <c r="F77" s="9" t="s">
        <v>218</v>
      </c>
      <c r="G77" s="9" t="s">
        <v>168</v>
      </c>
      <c r="H77" s="9" t="s">
        <v>5</v>
      </c>
      <c r="I77" s="13" t="s">
        <v>46</v>
      </c>
      <c r="J77" s="13" t="s">
        <v>309</v>
      </c>
    </row>
    <row r="78" customFormat="false" ht="30" hidden="false" customHeight="true" outlineLevel="0" collapsed="false">
      <c r="A78" s="9" t="s">
        <v>310</v>
      </c>
      <c r="B78" s="12" t="s">
        <v>17</v>
      </c>
      <c r="C78" s="12" t="s">
        <v>56</v>
      </c>
      <c r="D78" s="13" t="s">
        <v>311</v>
      </c>
      <c r="E78" s="13" t="s">
        <v>312</v>
      </c>
      <c r="F78" s="9" t="s">
        <v>77</v>
      </c>
      <c r="G78" s="9" t="s">
        <v>168</v>
      </c>
      <c r="H78" s="9" t="s">
        <v>5</v>
      </c>
      <c r="I78" s="13" t="s">
        <v>130</v>
      </c>
      <c r="J78" s="13"/>
    </row>
    <row r="79" customFormat="false" ht="30" hidden="false" customHeight="true" outlineLevel="0" collapsed="false">
      <c r="A79" s="9" t="s">
        <v>313</v>
      </c>
      <c r="B79" s="12" t="s">
        <v>17</v>
      </c>
      <c r="C79" s="12" t="s">
        <v>56</v>
      </c>
      <c r="D79" s="13" t="s">
        <v>314</v>
      </c>
      <c r="E79" s="13" t="s">
        <v>315</v>
      </c>
      <c r="F79" s="9" t="s">
        <v>77</v>
      </c>
      <c r="G79" s="9" t="s">
        <v>168</v>
      </c>
      <c r="H79" s="9" t="s">
        <v>5</v>
      </c>
      <c r="I79" s="13" t="s">
        <v>310</v>
      </c>
      <c r="J79" s="13"/>
    </row>
    <row r="80" customFormat="false" ht="30" hidden="false" customHeight="true" outlineLevel="0" collapsed="false">
      <c r="A80" s="9" t="s">
        <v>316</v>
      </c>
      <c r="B80" s="12" t="s">
        <v>17</v>
      </c>
      <c r="C80" s="12" t="s">
        <v>56</v>
      </c>
      <c r="D80" s="13" t="s">
        <v>317</v>
      </c>
      <c r="E80" s="13" t="s">
        <v>318</v>
      </c>
      <c r="F80" s="9" t="s">
        <v>319</v>
      </c>
      <c r="G80" s="9" t="s">
        <v>168</v>
      </c>
      <c r="H80" s="9" t="s">
        <v>5</v>
      </c>
      <c r="I80" s="13" t="s">
        <v>306</v>
      </c>
      <c r="J80" s="13"/>
    </row>
    <row r="81" customFormat="false" ht="30" hidden="false" customHeight="true" outlineLevel="0" collapsed="false">
      <c r="A81" s="9" t="s">
        <v>320</v>
      </c>
      <c r="B81" s="12" t="s">
        <v>17</v>
      </c>
      <c r="C81" s="12" t="s">
        <v>56</v>
      </c>
      <c r="D81" s="13" t="s">
        <v>321</v>
      </c>
      <c r="E81" s="13" t="s">
        <v>322</v>
      </c>
      <c r="F81" s="9" t="s">
        <v>319</v>
      </c>
      <c r="G81" s="9" t="s">
        <v>168</v>
      </c>
      <c r="H81" s="9" t="s">
        <v>5</v>
      </c>
      <c r="I81" s="13" t="s">
        <v>323</v>
      </c>
      <c r="J81" s="13" t="s">
        <v>324</v>
      </c>
    </row>
    <row r="82" customFormat="false" ht="30" hidden="false" customHeight="true" outlineLevel="0" collapsed="false">
      <c r="A82" s="9" t="s">
        <v>325</v>
      </c>
      <c r="B82" s="12" t="s">
        <v>17</v>
      </c>
      <c r="C82" s="12" t="s">
        <v>56</v>
      </c>
      <c r="D82" s="13" t="s">
        <v>326</v>
      </c>
      <c r="E82" s="13" t="s">
        <v>327</v>
      </c>
      <c r="F82" s="9" t="s">
        <v>77</v>
      </c>
      <c r="G82" s="9" t="s">
        <v>168</v>
      </c>
      <c r="H82" s="9" t="s">
        <v>5</v>
      </c>
      <c r="I82" s="13" t="s">
        <v>316</v>
      </c>
      <c r="J82" s="13"/>
    </row>
    <row r="83" customFormat="false" ht="30" hidden="false" customHeight="true" outlineLevel="0" collapsed="false">
      <c r="A83" s="9" t="s">
        <v>328</v>
      </c>
      <c r="B83" s="12" t="s">
        <v>17</v>
      </c>
      <c r="C83" s="12" t="s">
        <v>56</v>
      </c>
      <c r="D83" s="13" t="s">
        <v>329</v>
      </c>
      <c r="E83" s="13" t="s">
        <v>330</v>
      </c>
      <c r="F83" s="9" t="s">
        <v>218</v>
      </c>
      <c r="G83" s="9" t="s">
        <v>168</v>
      </c>
      <c r="H83" s="9" t="s">
        <v>5</v>
      </c>
      <c r="I83" s="13" t="s">
        <v>331</v>
      </c>
      <c r="J83" s="13"/>
    </row>
    <row r="84" customFormat="false" ht="30" hidden="false" customHeight="true" outlineLevel="0" collapsed="false">
      <c r="A84" s="9" t="s">
        <v>332</v>
      </c>
      <c r="B84" s="12" t="s">
        <v>17</v>
      </c>
      <c r="C84" s="12" t="s">
        <v>56</v>
      </c>
      <c r="D84" s="13" t="s">
        <v>333</v>
      </c>
      <c r="E84" s="13" t="s">
        <v>334</v>
      </c>
      <c r="F84" s="9" t="s">
        <v>218</v>
      </c>
      <c r="G84" s="9" t="s">
        <v>168</v>
      </c>
      <c r="H84" s="9" t="s">
        <v>5</v>
      </c>
      <c r="I84" s="13" t="s">
        <v>316</v>
      </c>
      <c r="J84" s="13" t="s">
        <v>335</v>
      </c>
    </row>
    <row r="85" customFormat="false" ht="30" hidden="false" customHeight="true" outlineLevel="0" collapsed="false">
      <c r="A85" s="9" t="s">
        <v>336</v>
      </c>
      <c r="B85" s="12" t="s">
        <v>17</v>
      </c>
      <c r="C85" s="12" t="s">
        <v>74</v>
      </c>
      <c r="D85" s="13" t="s">
        <v>337</v>
      </c>
      <c r="E85" s="13" t="s">
        <v>338</v>
      </c>
      <c r="F85" s="9" t="s">
        <v>218</v>
      </c>
      <c r="G85" s="9" t="s">
        <v>168</v>
      </c>
      <c r="H85" s="9" t="s">
        <v>5</v>
      </c>
      <c r="I85" s="13" t="s">
        <v>316</v>
      </c>
      <c r="J85" s="13"/>
    </row>
    <row r="86" customFormat="false" ht="30" hidden="false" customHeight="true" outlineLevel="0" collapsed="false">
      <c r="A86" s="9" t="s">
        <v>339</v>
      </c>
      <c r="B86" s="12" t="s">
        <v>18</v>
      </c>
      <c r="C86" s="12" t="s">
        <v>56</v>
      </c>
      <c r="D86" s="13" t="s">
        <v>340</v>
      </c>
      <c r="E86" s="13"/>
      <c r="F86" s="9" t="s">
        <v>218</v>
      </c>
      <c r="G86" s="9" t="s">
        <v>87</v>
      </c>
      <c r="H86" s="9" t="s">
        <v>5</v>
      </c>
      <c r="I86" s="13" t="s">
        <v>261</v>
      </c>
      <c r="J86" s="13"/>
    </row>
    <row r="87" customFormat="false" ht="30" hidden="false" customHeight="true" outlineLevel="0" collapsed="false">
      <c r="A87" s="9" t="s">
        <v>341</v>
      </c>
      <c r="B87" s="12" t="s">
        <v>18</v>
      </c>
      <c r="C87" s="12" t="s">
        <v>56</v>
      </c>
      <c r="D87" s="13" t="s">
        <v>342</v>
      </c>
      <c r="E87" s="13" t="s">
        <v>343</v>
      </c>
      <c r="F87" s="9" t="s">
        <v>218</v>
      </c>
      <c r="G87" s="9" t="s">
        <v>87</v>
      </c>
      <c r="H87" s="9" t="s">
        <v>5</v>
      </c>
      <c r="I87" s="13" t="s">
        <v>261</v>
      </c>
      <c r="J87" s="13"/>
    </row>
    <row r="88" customFormat="false" ht="30" hidden="false" customHeight="true" outlineLevel="0" collapsed="false">
      <c r="A88" s="9" t="s">
        <v>344</v>
      </c>
      <c r="B88" s="12" t="s">
        <v>18</v>
      </c>
      <c r="C88" s="12" t="s">
        <v>56</v>
      </c>
      <c r="D88" s="13" t="s">
        <v>345</v>
      </c>
      <c r="E88" s="13"/>
      <c r="F88" s="9" t="s">
        <v>44</v>
      </c>
      <c r="G88" s="9" t="s">
        <v>87</v>
      </c>
      <c r="H88" s="9" t="s">
        <v>5</v>
      </c>
      <c r="I88" s="13" t="s">
        <v>339</v>
      </c>
      <c r="J88" s="13"/>
    </row>
    <row r="89" customFormat="false" ht="30" hidden="false" customHeight="true" outlineLevel="0" collapsed="false">
      <c r="A89" s="9" t="s">
        <v>346</v>
      </c>
      <c r="B89" s="12" t="s">
        <v>18</v>
      </c>
      <c r="C89" s="12" t="s">
        <v>56</v>
      </c>
      <c r="D89" s="13" t="s">
        <v>347</v>
      </c>
      <c r="E89" s="13" t="s">
        <v>348</v>
      </c>
      <c r="F89" s="9" t="s">
        <v>319</v>
      </c>
      <c r="G89" s="9" t="s">
        <v>223</v>
      </c>
      <c r="H89" s="9" t="s">
        <v>5</v>
      </c>
      <c r="I89" s="13" t="s">
        <v>46</v>
      </c>
      <c r="J89" s="13" t="s">
        <v>349</v>
      </c>
    </row>
    <row r="90" customFormat="false" ht="30" hidden="false" customHeight="true" outlineLevel="0" collapsed="false">
      <c r="A90" s="9" t="s">
        <v>350</v>
      </c>
      <c r="B90" s="12" t="s">
        <v>18</v>
      </c>
      <c r="C90" s="12" t="s">
        <v>74</v>
      </c>
      <c r="D90" s="13" t="s">
        <v>351</v>
      </c>
      <c r="E90" s="13"/>
      <c r="F90" s="9" t="s">
        <v>77</v>
      </c>
      <c r="G90" s="9" t="s">
        <v>87</v>
      </c>
      <c r="H90" s="9" t="s">
        <v>5</v>
      </c>
      <c r="I90" s="13" t="s">
        <v>352</v>
      </c>
      <c r="J90" s="13"/>
    </row>
    <row r="91" customFormat="false" ht="30" hidden="false" customHeight="true" outlineLevel="0" collapsed="false">
      <c r="A91" s="9" t="s">
        <v>353</v>
      </c>
      <c r="B91" s="12" t="s">
        <v>19</v>
      </c>
      <c r="C91" s="12" t="s">
        <v>56</v>
      </c>
      <c r="D91" s="13" t="s">
        <v>354</v>
      </c>
      <c r="E91" s="13"/>
      <c r="F91" s="9" t="s">
        <v>77</v>
      </c>
      <c r="G91" s="9" t="s">
        <v>87</v>
      </c>
      <c r="H91" s="9" t="s">
        <v>5</v>
      </c>
      <c r="I91" s="13" t="s">
        <v>261</v>
      </c>
      <c r="J91" s="13"/>
    </row>
    <row r="92" customFormat="false" ht="30" hidden="false" customHeight="true" outlineLevel="0" collapsed="false">
      <c r="A92" s="9" t="s">
        <v>355</v>
      </c>
      <c r="B92" s="12" t="s">
        <v>19</v>
      </c>
      <c r="C92" s="12" t="s">
        <v>56</v>
      </c>
      <c r="D92" s="13" t="s">
        <v>356</v>
      </c>
      <c r="E92" s="13" t="s">
        <v>357</v>
      </c>
      <c r="F92" s="9" t="s">
        <v>77</v>
      </c>
      <c r="G92" s="9" t="s">
        <v>87</v>
      </c>
      <c r="H92" s="9" t="s">
        <v>5</v>
      </c>
      <c r="I92" s="13" t="s">
        <v>353</v>
      </c>
      <c r="J92" s="13"/>
    </row>
    <row r="93" customFormat="false" ht="30" hidden="false" customHeight="true" outlineLevel="0" collapsed="false">
      <c r="A93" s="9" t="s">
        <v>358</v>
      </c>
      <c r="B93" s="12" t="s">
        <v>19</v>
      </c>
      <c r="C93" s="12" t="s">
        <v>56</v>
      </c>
      <c r="D93" s="13" t="s">
        <v>359</v>
      </c>
      <c r="E93" s="13" t="s">
        <v>360</v>
      </c>
      <c r="F93" s="9" t="s">
        <v>44</v>
      </c>
      <c r="G93" s="9" t="s">
        <v>87</v>
      </c>
      <c r="H93" s="9" t="s">
        <v>5</v>
      </c>
      <c r="I93" s="13" t="s">
        <v>353</v>
      </c>
      <c r="J93" s="13"/>
    </row>
    <row r="94" customFormat="false" ht="30" hidden="false" customHeight="true" outlineLevel="0" collapsed="false">
      <c r="A94" s="9" t="s">
        <v>361</v>
      </c>
      <c r="B94" s="12" t="s">
        <v>19</v>
      </c>
      <c r="C94" s="12" t="s">
        <v>56</v>
      </c>
      <c r="D94" s="13" t="s">
        <v>362</v>
      </c>
      <c r="E94" s="13"/>
      <c r="F94" s="9" t="s">
        <v>44</v>
      </c>
      <c r="G94" s="9" t="s">
        <v>168</v>
      </c>
      <c r="H94" s="9" t="s">
        <v>5</v>
      </c>
      <c r="I94" s="13" t="s">
        <v>353</v>
      </c>
      <c r="J94" s="13"/>
    </row>
    <row r="95" customFormat="false" ht="30" hidden="false" customHeight="true" outlineLevel="0" collapsed="false">
      <c r="A95" s="9" t="s">
        <v>363</v>
      </c>
      <c r="B95" s="12" t="s">
        <v>19</v>
      </c>
      <c r="C95" s="12" t="s">
        <v>56</v>
      </c>
      <c r="D95" s="13" t="s">
        <v>364</v>
      </c>
      <c r="E95" s="13" t="s">
        <v>365</v>
      </c>
      <c r="F95" s="9" t="s">
        <v>77</v>
      </c>
      <c r="G95" s="9" t="s">
        <v>87</v>
      </c>
      <c r="H95" s="9" t="s">
        <v>5</v>
      </c>
      <c r="I95" s="13" t="s">
        <v>353</v>
      </c>
      <c r="J95" s="13"/>
    </row>
    <row r="96" customFormat="false" ht="30" hidden="false" customHeight="true" outlineLevel="0" collapsed="false">
      <c r="A96" s="9" t="s">
        <v>366</v>
      </c>
      <c r="B96" s="12" t="s">
        <v>20</v>
      </c>
      <c r="C96" s="12" t="s">
        <v>56</v>
      </c>
      <c r="D96" s="13" t="s">
        <v>367</v>
      </c>
      <c r="E96" s="13" t="s">
        <v>368</v>
      </c>
      <c r="F96" s="9" t="s">
        <v>77</v>
      </c>
      <c r="G96" s="9" t="s">
        <v>168</v>
      </c>
      <c r="H96" s="9" t="s">
        <v>5</v>
      </c>
      <c r="I96" s="13" t="s">
        <v>121</v>
      </c>
      <c r="J96" s="13"/>
    </row>
    <row r="97" customFormat="false" ht="30" hidden="false" customHeight="true" outlineLevel="0" collapsed="false">
      <c r="A97" s="9" t="s">
        <v>369</v>
      </c>
      <c r="B97" s="12" t="s">
        <v>20</v>
      </c>
      <c r="C97" s="12" t="s">
        <v>56</v>
      </c>
      <c r="D97" s="13" t="s">
        <v>370</v>
      </c>
      <c r="E97" s="13"/>
      <c r="F97" s="9" t="s">
        <v>77</v>
      </c>
      <c r="G97" s="9" t="s">
        <v>168</v>
      </c>
      <c r="H97" s="9" t="s">
        <v>5</v>
      </c>
      <c r="I97" s="13" t="s">
        <v>366</v>
      </c>
      <c r="J97" s="13"/>
    </row>
    <row r="98" customFormat="false" ht="30" hidden="false" customHeight="true" outlineLevel="0" collapsed="false">
      <c r="A98" s="9" t="s">
        <v>371</v>
      </c>
      <c r="B98" s="12" t="s">
        <v>20</v>
      </c>
      <c r="C98" s="12" t="s">
        <v>74</v>
      </c>
      <c r="D98" s="13" t="s">
        <v>372</v>
      </c>
      <c r="E98" s="13" t="s">
        <v>373</v>
      </c>
      <c r="F98" s="9" t="s">
        <v>44</v>
      </c>
      <c r="G98" s="9" t="s">
        <v>168</v>
      </c>
      <c r="H98" s="9" t="s">
        <v>5</v>
      </c>
      <c r="I98" s="13" t="s">
        <v>369</v>
      </c>
      <c r="J98" s="13"/>
    </row>
    <row r="99" customFormat="false" ht="30" hidden="false" customHeight="true" outlineLevel="0" collapsed="false">
      <c r="A99" s="9" t="s">
        <v>374</v>
      </c>
      <c r="B99" s="12" t="s">
        <v>21</v>
      </c>
      <c r="C99" s="12" t="s">
        <v>375</v>
      </c>
      <c r="D99" s="13" t="s">
        <v>376</v>
      </c>
      <c r="E99" s="13" t="s">
        <v>377</v>
      </c>
      <c r="F99" s="9" t="s">
        <v>77</v>
      </c>
      <c r="G99" s="9" t="s">
        <v>45</v>
      </c>
      <c r="H99" s="9" t="s">
        <v>4</v>
      </c>
      <c r="I99" s="13" t="s">
        <v>46</v>
      </c>
      <c r="J99" s="13" t="s">
        <v>378</v>
      </c>
    </row>
    <row r="100" customFormat="false" ht="30" hidden="false" customHeight="true" outlineLevel="0" collapsed="false">
      <c r="A100" s="9" t="s">
        <v>379</v>
      </c>
      <c r="B100" s="12" t="s">
        <v>21</v>
      </c>
      <c r="C100" s="12" t="s">
        <v>375</v>
      </c>
      <c r="D100" s="13" t="s">
        <v>380</v>
      </c>
      <c r="E100" s="13" t="s">
        <v>381</v>
      </c>
      <c r="F100" s="9" t="s">
        <v>218</v>
      </c>
      <c r="G100" s="9" t="s">
        <v>83</v>
      </c>
      <c r="H100" s="9" t="s">
        <v>5</v>
      </c>
      <c r="I100" s="13" t="s">
        <v>46</v>
      </c>
      <c r="J100" s="13"/>
    </row>
    <row r="101" customFormat="false" ht="30" hidden="false" customHeight="true" outlineLevel="0" collapsed="false">
      <c r="A101" s="9" t="s">
        <v>382</v>
      </c>
      <c r="B101" s="12" t="s">
        <v>21</v>
      </c>
      <c r="C101" s="12" t="s">
        <v>375</v>
      </c>
      <c r="D101" s="13" t="s">
        <v>383</v>
      </c>
      <c r="E101" s="13"/>
      <c r="F101" s="9" t="s">
        <v>77</v>
      </c>
      <c r="G101" s="9" t="s">
        <v>83</v>
      </c>
      <c r="H101" s="9" t="s">
        <v>5</v>
      </c>
      <c r="I101" s="13" t="s">
        <v>46</v>
      </c>
      <c r="J101" s="13"/>
    </row>
    <row r="102" customFormat="false" ht="30" hidden="false" customHeight="true" outlineLevel="0" collapsed="false">
      <c r="A102" s="9" t="s">
        <v>384</v>
      </c>
      <c r="B102" s="12" t="s">
        <v>21</v>
      </c>
      <c r="C102" s="12" t="s">
        <v>375</v>
      </c>
      <c r="D102" s="13" t="s">
        <v>385</v>
      </c>
      <c r="E102" s="13" t="s">
        <v>386</v>
      </c>
      <c r="F102" s="9" t="s">
        <v>218</v>
      </c>
      <c r="G102" s="9" t="s">
        <v>87</v>
      </c>
      <c r="H102" s="9" t="s">
        <v>5</v>
      </c>
      <c r="I102" s="13" t="s">
        <v>46</v>
      </c>
      <c r="J102" s="13"/>
    </row>
    <row r="103" customFormat="false" ht="30" hidden="false" customHeight="true" outlineLevel="0" collapsed="false">
      <c r="A103" s="9" t="s">
        <v>387</v>
      </c>
      <c r="B103" s="12" t="s">
        <v>21</v>
      </c>
      <c r="C103" s="12" t="s">
        <v>375</v>
      </c>
      <c r="D103" s="13" t="s">
        <v>388</v>
      </c>
      <c r="E103" s="13" t="s">
        <v>389</v>
      </c>
      <c r="F103" s="9" t="s">
        <v>218</v>
      </c>
      <c r="G103" s="9" t="s">
        <v>87</v>
      </c>
      <c r="H103" s="9" t="s">
        <v>5</v>
      </c>
      <c r="I103" s="13" t="s">
        <v>379</v>
      </c>
      <c r="J103" s="13"/>
    </row>
    <row r="104" customFormat="false" ht="30" hidden="false" customHeight="true" outlineLevel="0" collapsed="false">
      <c r="A104" s="9" t="s">
        <v>390</v>
      </c>
      <c r="B104" s="12" t="s">
        <v>21</v>
      </c>
      <c r="C104" s="12" t="s">
        <v>375</v>
      </c>
      <c r="D104" s="13" t="s">
        <v>391</v>
      </c>
      <c r="E104" s="13" t="s">
        <v>392</v>
      </c>
      <c r="F104" s="9" t="s">
        <v>319</v>
      </c>
      <c r="G104" s="9" t="s">
        <v>87</v>
      </c>
      <c r="H104" s="9" t="s">
        <v>5</v>
      </c>
      <c r="I104" s="13" t="s">
        <v>387</v>
      </c>
      <c r="J104" s="13"/>
    </row>
    <row r="105" customFormat="false" ht="30" hidden="false" customHeight="true" outlineLevel="0" collapsed="false">
      <c r="A105" s="9" t="s">
        <v>393</v>
      </c>
      <c r="B105" s="12" t="s">
        <v>21</v>
      </c>
      <c r="C105" s="12" t="s">
        <v>375</v>
      </c>
      <c r="D105" s="13" t="s">
        <v>394</v>
      </c>
      <c r="E105" s="13"/>
      <c r="F105" s="9" t="s">
        <v>77</v>
      </c>
      <c r="G105" s="9" t="s">
        <v>87</v>
      </c>
      <c r="H105" s="9" t="s">
        <v>5</v>
      </c>
      <c r="I105" s="13" t="s">
        <v>390</v>
      </c>
      <c r="J105" s="13"/>
    </row>
    <row r="106" customFormat="false" ht="30" hidden="false" customHeight="true" outlineLevel="0" collapsed="false">
      <c r="A106" s="9" t="s">
        <v>395</v>
      </c>
      <c r="B106" s="12" t="s">
        <v>21</v>
      </c>
      <c r="C106" s="12" t="s">
        <v>375</v>
      </c>
      <c r="D106" s="13" t="s">
        <v>396</v>
      </c>
      <c r="E106" s="13" t="s">
        <v>397</v>
      </c>
      <c r="F106" s="9" t="s">
        <v>218</v>
      </c>
      <c r="G106" s="9" t="s">
        <v>83</v>
      </c>
      <c r="H106" s="9" t="s">
        <v>5</v>
      </c>
      <c r="I106" s="13" t="s">
        <v>390</v>
      </c>
      <c r="J106" s="13"/>
    </row>
    <row r="107" customFormat="false" ht="30" hidden="false" customHeight="true" outlineLevel="0" collapsed="false">
      <c r="A107" s="9" t="s">
        <v>398</v>
      </c>
      <c r="B107" s="12" t="s">
        <v>21</v>
      </c>
      <c r="C107" s="12" t="s">
        <v>375</v>
      </c>
      <c r="D107" s="13" t="s">
        <v>399</v>
      </c>
      <c r="E107" s="13"/>
      <c r="F107" s="9" t="s">
        <v>77</v>
      </c>
      <c r="G107" s="9" t="s">
        <v>87</v>
      </c>
      <c r="H107" s="9" t="s">
        <v>5</v>
      </c>
      <c r="I107" s="13" t="s">
        <v>379</v>
      </c>
      <c r="J107" s="13"/>
    </row>
    <row r="108" customFormat="false" ht="30" hidden="false" customHeight="true" outlineLevel="0" collapsed="false">
      <c r="A108" s="9" t="s">
        <v>400</v>
      </c>
      <c r="B108" s="12" t="s">
        <v>21</v>
      </c>
      <c r="C108" s="12" t="s">
        <v>375</v>
      </c>
      <c r="D108" s="13" t="s">
        <v>401</v>
      </c>
      <c r="E108" s="13" t="s">
        <v>402</v>
      </c>
      <c r="F108" s="9" t="s">
        <v>218</v>
      </c>
      <c r="G108" s="9" t="s">
        <v>83</v>
      </c>
      <c r="H108" s="9" t="s">
        <v>5</v>
      </c>
      <c r="I108" s="13" t="s">
        <v>390</v>
      </c>
      <c r="J108" s="13"/>
    </row>
    <row r="109" customFormat="false" ht="30" hidden="false" customHeight="true" outlineLevel="0" collapsed="false">
      <c r="A109" s="9" t="s">
        <v>403</v>
      </c>
      <c r="B109" s="12" t="s">
        <v>21</v>
      </c>
      <c r="C109" s="12" t="s">
        <v>375</v>
      </c>
      <c r="D109" s="13" t="s">
        <v>404</v>
      </c>
      <c r="E109" s="13" t="s">
        <v>405</v>
      </c>
      <c r="F109" s="9" t="s">
        <v>77</v>
      </c>
      <c r="G109" s="9" t="s">
        <v>87</v>
      </c>
      <c r="H109" s="9" t="s">
        <v>5</v>
      </c>
      <c r="I109" s="13" t="s">
        <v>406</v>
      </c>
      <c r="J109" s="13"/>
    </row>
    <row r="110" customFormat="false" ht="30" hidden="false" customHeight="true" outlineLevel="0" collapsed="false">
      <c r="A110" s="9" t="s">
        <v>407</v>
      </c>
      <c r="B110" s="12" t="s">
        <v>22</v>
      </c>
      <c r="C110" s="12" t="s">
        <v>408</v>
      </c>
      <c r="D110" s="13" t="s">
        <v>409</v>
      </c>
      <c r="E110" s="13" t="s">
        <v>410</v>
      </c>
      <c r="F110" s="9" t="s">
        <v>77</v>
      </c>
      <c r="G110" s="9" t="s">
        <v>83</v>
      </c>
      <c r="H110" s="9" t="s">
        <v>5</v>
      </c>
      <c r="I110" s="13" t="s">
        <v>121</v>
      </c>
      <c r="J110" s="13"/>
    </row>
    <row r="111" customFormat="false" ht="30" hidden="false" customHeight="true" outlineLevel="0" collapsed="false">
      <c r="A111" s="9" t="s">
        <v>411</v>
      </c>
      <c r="B111" s="12" t="s">
        <v>22</v>
      </c>
      <c r="C111" s="12" t="s">
        <v>408</v>
      </c>
      <c r="D111" s="13" t="s">
        <v>412</v>
      </c>
      <c r="E111" s="13" t="s">
        <v>413</v>
      </c>
      <c r="F111" s="9" t="s">
        <v>77</v>
      </c>
      <c r="G111" s="9" t="s">
        <v>87</v>
      </c>
      <c r="H111" s="9" t="s">
        <v>5</v>
      </c>
      <c r="I111" s="13" t="s">
        <v>414</v>
      </c>
      <c r="J111" s="13"/>
    </row>
    <row r="112" customFormat="false" ht="30" hidden="false" customHeight="true" outlineLevel="0" collapsed="false">
      <c r="A112" s="9" t="s">
        <v>415</v>
      </c>
      <c r="B112" s="12" t="s">
        <v>22</v>
      </c>
      <c r="C112" s="12" t="s">
        <v>408</v>
      </c>
      <c r="D112" s="13" t="s">
        <v>416</v>
      </c>
      <c r="E112" s="13" t="s">
        <v>417</v>
      </c>
      <c r="F112" s="9" t="s">
        <v>77</v>
      </c>
      <c r="G112" s="9" t="s">
        <v>87</v>
      </c>
      <c r="H112" s="9" t="s">
        <v>5</v>
      </c>
      <c r="I112" s="13" t="s">
        <v>302</v>
      </c>
      <c r="J112" s="13"/>
    </row>
    <row r="113" customFormat="false" ht="30" hidden="false" customHeight="true" outlineLevel="0" collapsed="false">
      <c r="A113" s="9" t="s">
        <v>418</v>
      </c>
      <c r="B113" s="12" t="s">
        <v>22</v>
      </c>
      <c r="C113" s="12" t="s">
        <v>408</v>
      </c>
      <c r="D113" s="13" t="s">
        <v>419</v>
      </c>
      <c r="E113" s="13" t="s">
        <v>420</v>
      </c>
      <c r="F113" s="9" t="s">
        <v>77</v>
      </c>
      <c r="G113" s="9" t="s">
        <v>168</v>
      </c>
      <c r="H113" s="9" t="s">
        <v>5</v>
      </c>
      <c r="I113" s="13" t="s">
        <v>336</v>
      </c>
      <c r="J113" s="13"/>
    </row>
    <row r="114" customFormat="false" ht="30" hidden="false" customHeight="true" outlineLevel="0" collapsed="false">
      <c r="A114" s="9" t="s">
        <v>421</v>
      </c>
      <c r="B114" s="12" t="s">
        <v>23</v>
      </c>
      <c r="C114" s="12" t="s">
        <v>56</v>
      </c>
      <c r="D114" s="13" t="s">
        <v>422</v>
      </c>
      <c r="E114" s="13" t="s">
        <v>423</v>
      </c>
      <c r="F114" s="9" t="s">
        <v>218</v>
      </c>
      <c r="G114" s="9" t="s">
        <v>223</v>
      </c>
      <c r="H114" s="9" t="s">
        <v>5</v>
      </c>
      <c r="I114" s="13" t="s">
        <v>46</v>
      </c>
      <c r="J114" s="13" t="s">
        <v>424</v>
      </c>
    </row>
    <row r="115" customFormat="false" ht="30" hidden="false" customHeight="true" outlineLevel="0" collapsed="false">
      <c r="A115" s="9" t="s">
        <v>425</v>
      </c>
      <c r="B115" s="12" t="s">
        <v>23</v>
      </c>
      <c r="C115" s="12" t="s">
        <v>56</v>
      </c>
      <c r="D115" s="13" t="s">
        <v>426</v>
      </c>
      <c r="E115" s="13" t="s">
        <v>427</v>
      </c>
      <c r="F115" s="9" t="s">
        <v>319</v>
      </c>
      <c r="G115" s="9" t="s">
        <v>223</v>
      </c>
      <c r="H115" s="9" t="s">
        <v>5</v>
      </c>
      <c r="I115" s="13" t="s">
        <v>421</v>
      </c>
      <c r="J115" s="13"/>
    </row>
    <row r="116" customFormat="false" ht="30" hidden="false" customHeight="true" outlineLevel="0" collapsed="false">
      <c r="A116" s="9" t="s">
        <v>428</v>
      </c>
      <c r="B116" s="12" t="s">
        <v>23</v>
      </c>
      <c r="C116" s="12" t="s">
        <v>56</v>
      </c>
      <c r="D116" s="13" t="s">
        <v>429</v>
      </c>
      <c r="E116" s="13" t="s">
        <v>430</v>
      </c>
      <c r="F116" s="9" t="s">
        <v>319</v>
      </c>
      <c r="G116" s="9" t="s">
        <v>223</v>
      </c>
      <c r="H116" s="9" t="s">
        <v>5</v>
      </c>
      <c r="I116" s="13" t="s">
        <v>425</v>
      </c>
      <c r="J116" s="13" t="s">
        <v>431</v>
      </c>
    </row>
  </sheetData>
  <autoFilter ref="A1:J116"/>
  <conditionalFormatting sqref="H2:H116">
    <cfRule type="cellIs" priority="2" operator="equal" aboveAverage="0" equalAverage="0" bottom="0" percent="0" rank="0" text="" dxfId="8">
      <formula>"Tamamlandı"</formula>
    </cfRule>
    <cfRule type="cellIs" priority="3" operator="equal" aboveAverage="0" equalAverage="0" bottom="0" percent="0" rank="0" text="" dxfId="9">
      <formula>"Devam Ediyor"</formula>
    </cfRule>
    <cfRule type="cellIs" priority="4" operator="equal" aboveAverage="0" equalAverage="0" bottom="0" percent="0" rank="0" text="" dxfId="10">
      <formula>"Yapılacak"</formula>
    </cfRule>
    <cfRule type="cellIs" priority="5" operator="equal" aboveAverage="0" equalAverage="0" bottom="0" percent="0" rank="0" text="" dxfId="11">
      <formula>"Bloke"</formula>
    </cfRule>
  </conditionalFormatting>
  <dataValidations count="3">
    <dataValidation allowBlank="false" errorStyle="stop" operator="between" showDropDown="false" showErrorMessage="false" showInputMessage="false" sqref="H2:H116" type="list">
      <formula1>"Yapılacak,Devam Ediyor,Tamamlandı,Bloke"</formula1>
      <formula2>0</formula2>
    </dataValidation>
    <dataValidation allowBlank="false" errorStyle="stop" operator="between" showDropDown="false" showErrorMessage="false" showInputMessage="false" sqref="G2:G116" type="list">
      <formula1>"Kritik,Yüksek,Orta,Düşük,Opsiyonel"</formula1>
      <formula2>0</formula2>
    </dataValidation>
    <dataValidation allowBlank="false" errorStyle="stop" operator="between" showDropDown="false" showErrorMessage="false" showInputMessage="false" sqref="F2:F116" type="list">
      <formula1>"S,M,L,XL"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2026-07-10T11:01:41Z</dcterms:created>
  <dc:creator>openpyxl</dc:creator>
  <dc:description/>
  <dc:language>en-US</dc:language>
  <cp:lastModifiedBy/>
  <dcterms:modified xsi:type="dcterms:W3CDTF">2026-07-10T17:25:17Z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