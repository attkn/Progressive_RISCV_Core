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Özet" sheetId="1" state="visible" r:id="rId3"/>
    <sheet name="Komutlar (skalar)" sheetId="2" state="visible" r:id="rId4"/>
    <sheet name="V (Vektör)" sheetId="3" state="visible" r:id="rId5"/>
  </sheets>
  <definedNames>
    <definedName function="false" hidden="true" localSheetId="1" name="_xlnm._FilterDatabase" vbProcedure="false">'Komutlar (skalar)'!$A$1:$H$154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<sst xmlns="http://schemas.openxmlformats.org/spreadsheetml/2006/main" count="1255" uniqueCount="548">
  <si>
    <t xml:space="preserve">RV32IMACBFV — Komut Seti Özeti (decode referansı)</t>
  </si>
  <si>
    <t xml:space="preserve">Uzantı</t>
  </si>
  <si>
    <t xml:space="preserve">Komut sayısı</t>
  </si>
  <si>
    <t xml:space="preserve">Not</t>
  </si>
  <si>
    <t xml:space="preserve">RV32I</t>
  </si>
  <si>
    <t xml:space="preserve">temel tamsayı (ALU, load/store, dallanma, FENCE, ECALL/EBREAK)</t>
  </si>
  <si>
    <t xml:space="preserve">Zicsr</t>
  </si>
  <si>
    <t xml:space="preserve">CSR erişim komutları (I'de DEĞİL, ayrı uzantı)</t>
  </si>
  <si>
    <t xml:space="preserve">Zifencei</t>
  </si>
  <si>
    <t xml:space="preserve">FENCE.I — komut belleği senk.</t>
  </si>
  <si>
    <t xml:space="preserve">M</t>
  </si>
  <si>
    <t xml:space="preserve">çarpma / bölme</t>
  </si>
  <si>
    <t xml:space="preserve">A (RV32A)</t>
  </si>
  <si>
    <t xml:space="preserve">atomik: LR/SC + 9 AMO (opcode 0101111, funct3=010)</t>
  </si>
  <si>
    <t xml:space="preserve">C (RV32C)</t>
  </si>
  <si>
    <t xml:space="preserve">sıkıştırılmış 16-bit (27 temel + 4 Zcf: C.FLW/FSW/FLWSP/FSWSP)</t>
  </si>
  <si>
    <t xml:space="preserve">B (Zba+Zbb+Zbs)</t>
  </si>
  <si>
    <t xml:space="preserve">bit manipülasyon (ratifiye B = bu üçü)</t>
  </si>
  <si>
    <t xml:space="preserve">Zbc (opsiyonel)</t>
  </si>
  <si>
    <t xml:space="preserve">carryless mul — B'ye DAHİL DEĞİL, ayrı</t>
  </si>
  <si>
    <t xml:space="preserve">F (RV32F)</t>
  </si>
  <si>
    <t xml:space="preserve">tek-duyarlıklı IEEE-754 kayan nokta</t>
  </si>
  <si>
    <t xml:space="preserve">V (Vektör)</t>
  </si>
  <si>
    <t xml:space="preserve">~350+</t>
  </si>
  <si>
    <t xml:space="preserve">RVV 1.0 — kategori bazında (bkz. 'V (Vektör)' sekmesi); tek tek listelenmedi</t>
  </si>
  <si>
    <t xml:space="preserve">TOPLAM (skalar, V hariç)</t>
  </si>
  <si>
    <t xml:space="preserve">IMACB + F + Zicsr/Zifencei toplam komut sayısı</t>
  </si>
  <si>
    <t xml:space="preserve">• Sayılar 'Komutlar (skalar)' sekmesindeki satırlardan COUNTIF ile gelir — canlı.</t>
  </si>
  <si>
    <t xml:space="preserve">• V (~350+ komut) tek tek listelenmedi; yapısı ve kategorileri ayrı sekmede.</t>
  </si>
  <si>
    <t xml:space="preserve">• Format kısaltmaları: R/I/S/B/U/J (32-bit), R4 (FMA), CIW/CL/CS/CI/CB/CA/CJ/CR/CSS (16-bit C).</t>
  </si>
  <si>
    <t xml:space="preserve">• R-type'ta ayırt edici = funct7 · unary Zbb/Zbs'te ek olarak rs2 alt-alanı · A'da funct5+aq/rl.</t>
  </si>
  <si>
    <t xml:space="preserve">Mnemonic</t>
  </si>
  <si>
    <t xml:space="preserve">Alt-set</t>
  </si>
  <si>
    <t xml:space="preserve">Format</t>
  </si>
  <si>
    <t xml:space="preserve">opcode[6:0]</t>
  </si>
  <si>
    <t xml:space="preserve">funct3</t>
  </si>
  <si>
    <t xml:space="preserve">funct7 / diğer alan</t>
  </si>
  <si>
    <t xml:space="preserve">Açıklama</t>
  </si>
  <si>
    <t xml:space="preserve">LUI</t>
  </si>
  <si>
    <t xml:space="preserve">I</t>
  </si>
  <si>
    <t xml:space="preserve">U</t>
  </si>
  <si>
    <t xml:space="preserve">0110111</t>
  </si>
  <si>
    <t xml:space="preserve">-</t>
  </si>
  <si>
    <t xml:space="preserve">rd = imm[31:12] &lt;&lt; 12</t>
  </si>
  <si>
    <t xml:space="preserve">AUIPC</t>
  </si>
  <si>
    <t xml:space="preserve">0010111</t>
  </si>
  <si>
    <t xml:space="preserve">rd = PC + (imm&lt;&lt;12)</t>
  </si>
  <si>
    <t xml:space="preserve">JAL</t>
  </si>
  <si>
    <t xml:space="preserve">J</t>
  </si>
  <si>
    <t xml:space="preserve">1101111</t>
  </si>
  <si>
    <t xml:space="preserve">rd=PC+4; PC += imm</t>
  </si>
  <si>
    <t xml:space="preserve">JALR</t>
  </si>
  <si>
    <t xml:space="preserve">1100111</t>
  </si>
  <si>
    <t xml:space="preserve">000</t>
  </si>
  <si>
    <t xml:space="preserve">rd=PC+4; PC=(rs1+imm)&amp;~1</t>
  </si>
  <si>
    <t xml:space="preserve">BEQ</t>
  </si>
  <si>
    <t xml:space="preserve">B</t>
  </si>
  <si>
    <t xml:space="preserve">1100011</t>
  </si>
  <si>
    <t xml:space="preserve">if rs1==rs2: branch</t>
  </si>
  <si>
    <t xml:space="preserve">BNE</t>
  </si>
  <si>
    <t xml:space="preserve">001</t>
  </si>
  <si>
    <t xml:space="preserve">if rs1!=rs2</t>
  </si>
  <si>
    <t xml:space="preserve">BLT</t>
  </si>
  <si>
    <t xml:space="preserve">100</t>
  </si>
  <si>
    <t xml:space="preserve">if rs1&lt;rs2 (signed)</t>
  </si>
  <si>
    <t xml:space="preserve">BGE</t>
  </si>
  <si>
    <t xml:space="preserve">101</t>
  </si>
  <si>
    <t xml:space="preserve">if rs1&gt;=rs2 (signed)</t>
  </si>
  <si>
    <t xml:space="preserve">BLTU</t>
  </si>
  <si>
    <t xml:space="preserve">110</t>
  </si>
  <si>
    <t xml:space="preserve">if rs1&lt;rs2 (unsigned)</t>
  </si>
  <si>
    <t xml:space="preserve">BGEU</t>
  </si>
  <si>
    <t xml:space="preserve">111</t>
  </si>
  <si>
    <t xml:space="preserve">if rs1&gt;=rs2 (unsigned)</t>
  </si>
  <si>
    <t xml:space="preserve">LB</t>
  </si>
  <si>
    <t xml:space="preserve">0000011</t>
  </si>
  <si>
    <t xml:space="preserve">rd = sext(mem8)</t>
  </si>
  <si>
    <t xml:space="preserve">LH</t>
  </si>
  <si>
    <t xml:space="preserve">rd = sext(mem16)</t>
  </si>
  <si>
    <t xml:space="preserve">LW</t>
  </si>
  <si>
    <t xml:space="preserve">010</t>
  </si>
  <si>
    <t xml:space="preserve">rd = mem32</t>
  </si>
  <si>
    <t xml:space="preserve">LBU</t>
  </si>
  <si>
    <t xml:space="preserve">rd = zext(mem8)</t>
  </si>
  <si>
    <t xml:space="preserve">LHU</t>
  </si>
  <si>
    <t xml:space="preserve">rd = zext(mem16)</t>
  </si>
  <si>
    <t xml:space="preserve">SB</t>
  </si>
  <si>
    <t xml:space="preserve">S</t>
  </si>
  <si>
    <t xml:space="preserve">0100011</t>
  </si>
  <si>
    <t xml:space="preserve">mem8 = rs2</t>
  </si>
  <si>
    <t xml:space="preserve">SH</t>
  </si>
  <si>
    <t xml:space="preserve">mem16 = rs2</t>
  </si>
  <si>
    <t xml:space="preserve">SW</t>
  </si>
  <si>
    <t xml:space="preserve">mem32 = rs2</t>
  </si>
  <si>
    <t xml:space="preserve">ADDI</t>
  </si>
  <si>
    <t xml:space="preserve">0010011</t>
  </si>
  <si>
    <t xml:space="preserve">rd = rs1 + imm</t>
  </si>
  <si>
    <t xml:space="preserve">SLTI</t>
  </si>
  <si>
    <t xml:space="preserve">rd = (rs1&lt;imm) signed</t>
  </si>
  <si>
    <t xml:space="preserve">SLTIU</t>
  </si>
  <si>
    <t xml:space="preserve">011</t>
  </si>
  <si>
    <t xml:space="preserve">rd = (rs1&lt;imm) unsigned</t>
  </si>
  <si>
    <t xml:space="preserve">XORI</t>
  </si>
  <si>
    <t xml:space="preserve">rd = rs1 ^ imm</t>
  </si>
  <si>
    <t xml:space="preserve">ORI</t>
  </si>
  <si>
    <t xml:space="preserve">rd = rs1 | imm</t>
  </si>
  <si>
    <t xml:space="preserve">ANDI</t>
  </si>
  <si>
    <t xml:space="preserve">rd = rs1 &amp; imm</t>
  </si>
  <si>
    <t xml:space="preserve">SLLI</t>
  </si>
  <si>
    <t xml:space="preserve">funct7=0000000</t>
  </si>
  <si>
    <t xml:space="preserve">rd = rs1 &lt;&lt; shamt</t>
  </si>
  <si>
    <t xml:space="preserve">SRLI</t>
  </si>
  <si>
    <t xml:space="preserve">rd = rs1 &gt;&gt; shamt (logic)</t>
  </si>
  <si>
    <t xml:space="preserve">SRAI</t>
  </si>
  <si>
    <t xml:space="preserve">funct7=0100000</t>
  </si>
  <si>
    <t xml:space="preserve">rd = rs1 &gt;&gt; shamt (arith)</t>
  </si>
  <si>
    <t xml:space="preserve">ADD</t>
  </si>
  <si>
    <t xml:space="preserve">R</t>
  </si>
  <si>
    <t xml:space="preserve">0110011</t>
  </si>
  <si>
    <t xml:space="preserve">0000000</t>
  </si>
  <si>
    <t xml:space="preserve">rd = rs1 + rs2</t>
  </si>
  <si>
    <t xml:space="preserve">SUB</t>
  </si>
  <si>
    <t xml:space="preserve">0100000</t>
  </si>
  <si>
    <t xml:space="preserve">rd = rs1 - rs2</t>
  </si>
  <si>
    <t xml:space="preserve">SLL</t>
  </si>
  <si>
    <t xml:space="preserve">rd = rs1 &lt;&lt; rs2[4:0]</t>
  </si>
  <si>
    <t xml:space="preserve">SLT</t>
  </si>
  <si>
    <t xml:space="preserve">rd = (rs1&lt;rs2) signed</t>
  </si>
  <si>
    <t xml:space="preserve">SLTU</t>
  </si>
  <si>
    <t xml:space="preserve">rd = (rs1&lt;rs2) unsigned</t>
  </si>
  <si>
    <t xml:space="preserve">XOR</t>
  </si>
  <si>
    <t xml:space="preserve">rd = rs1 ^ rs2</t>
  </si>
  <si>
    <t xml:space="preserve">SRL</t>
  </si>
  <si>
    <t xml:space="preserve">rd = rs1 &gt;&gt; rs2 (logic)</t>
  </si>
  <si>
    <t xml:space="preserve">SRA</t>
  </si>
  <si>
    <t xml:space="preserve">rd = rs1 &gt;&gt; rs2 (arith)</t>
  </si>
  <si>
    <t xml:space="preserve">OR</t>
  </si>
  <si>
    <t xml:space="preserve">rd = rs1 | rs2</t>
  </si>
  <si>
    <t xml:space="preserve">AND</t>
  </si>
  <si>
    <t xml:space="preserve">rd = rs1 &amp; rs2</t>
  </si>
  <si>
    <t xml:space="preserve">FENCE</t>
  </si>
  <si>
    <t xml:space="preserve">0001111</t>
  </si>
  <si>
    <t xml:space="preserve">bellek bariyeri (FENCE.TSO varyantı)</t>
  </si>
  <si>
    <t xml:space="preserve">ECALL</t>
  </si>
  <si>
    <t xml:space="preserve">1110011</t>
  </si>
  <si>
    <t xml:space="preserve">imm=0x000</t>
  </si>
  <si>
    <t xml:space="preserve">environment call</t>
  </si>
  <si>
    <t xml:space="preserve">EBREAK</t>
  </si>
  <si>
    <t xml:space="preserve">imm=0x001</t>
  </si>
  <si>
    <t xml:space="preserve">breakpoint</t>
  </si>
  <si>
    <t xml:space="preserve">CSRRW</t>
  </si>
  <si>
    <t xml:space="preserve">rd=csr; csr=rs1</t>
  </si>
  <si>
    <t xml:space="preserve">CSRRS</t>
  </si>
  <si>
    <t xml:space="preserve">rd=csr; csr |= rs1</t>
  </si>
  <si>
    <t xml:space="preserve">CSRRC</t>
  </si>
  <si>
    <t xml:space="preserve">rd=csr; csr &amp;= ~rs1</t>
  </si>
  <si>
    <t xml:space="preserve">CSRRWI</t>
  </si>
  <si>
    <t xml:space="preserve">rd=csr; csr=zimm5</t>
  </si>
  <si>
    <t xml:space="preserve">CSRRSI</t>
  </si>
  <si>
    <t xml:space="preserve">rd=csr; csr |= zimm5</t>
  </si>
  <si>
    <t xml:space="preserve">CSRRCI</t>
  </si>
  <si>
    <t xml:space="preserve">rd=csr; csr &amp;= ~zimm5</t>
  </si>
  <si>
    <t xml:space="preserve">FENCE.I</t>
  </si>
  <si>
    <t xml:space="preserve">komut belleği senkronizasyonu</t>
  </si>
  <si>
    <t xml:space="preserve">MUL</t>
  </si>
  <si>
    <t xml:space="preserve">0000001</t>
  </si>
  <si>
    <t xml:space="preserve">rd = (rs1*rs2)[31:0]</t>
  </si>
  <si>
    <t xml:space="preserve">MULH</t>
  </si>
  <si>
    <t xml:space="preserve">(rs1*rs2)[63:32] signed×signed</t>
  </si>
  <si>
    <t xml:space="preserve">MULHSU</t>
  </si>
  <si>
    <t xml:space="preserve">high, signed×unsigned</t>
  </si>
  <si>
    <t xml:space="preserve">MULHU</t>
  </si>
  <si>
    <t xml:space="preserve">high, unsigned×unsigned</t>
  </si>
  <si>
    <t xml:space="preserve">DIV</t>
  </si>
  <si>
    <t xml:space="preserve">rd = rs1 / rs2 (signed)</t>
  </si>
  <si>
    <t xml:space="preserve">DIVU</t>
  </si>
  <si>
    <t xml:space="preserve">unsigned bölme</t>
  </si>
  <si>
    <t xml:space="preserve">REM</t>
  </si>
  <si>
    <t xml:space="preserve">signed kalan</t>
  </si>
  <si>
    <t xml:space="preserve">REMU</t>
  </si>
  <si>
    <t xml:space="preserve">unsigned kalan</t>
  </si>
  <si>
    <t xml:space="preserve">LR.W</t>
  </si>
  <si>
    <t xml:space="preserve">A</t>
  </si>
  <si>
    <t xml:space="preserve">0101111</t>
  </si>
  <si>
    <t xml:space="preserve">funct5=00010 (rs2=0)</t>
  </si>
  <si>
    <t xml:space="preserve">rezervasyon + load</t>
  </si>
  <si>
    <t xml:space="preserve">SC.W</t>
  </si>
  <si>
    <t xml:space="preserve">funct5=00011</t>
  </si>
  <si>
    <t xml:space="preserve">store-conditional</t>
  </si>
  <si>
    <t xml:space="preserve">AMOSWAP.W</t>
  </si>
  <si>
    <t xml:space="preserve">funct5=00001</t>
  </si>
  <si>
    <t xml:space="preserve">atomik swap</t>
  </si>
  <si>
    <t xml:space="preserve">AMOADD.W</t>
  </si>
  <si>
    <t xml:space="preserve">funct5=00000</t>
  </si>
  <si>
    <t xml:space="preserve">atomik add</t>
  </si>
  <si>
    <t xml:space="preserve">AMOXOR.W</t>
  </si>
  <si>
    <t xml:space="preserve">funct5=00100</t>
  </si>
  <si>
    <t xml:space="preserve">atomik xor</t>
  </si>
  <si>
    <t xml:space="preserve">AMOAND.W</t>
  </si>
  <si>
    <t xml:space="preserve">funct5=01100</t>
  </si>
  <si>
    <t xml:space="preserve">atomik and</t>
  </si>
  <si>
    <t xml:space="preserve">AMOOR.W</t>
  </si>
  <si>
    <t xml:space="preserve">funct5=01000</t>
  </si>
  <si>
    <t xml:space="preserve">atomik or</t>
  </si>
  <si>
    <t xml:space="preserve">AMOMIN.W</t>
  </si>
  <si>
    <t xml:space="preserve">funct5=10000</t>
  </si>
  <si>
    <t xml:space="preserve">atomik min (signed)</t>
  </si>
  <si>
    <t xml:space="preserve">AMOMAX.W</t>
  </si>
  <si>
    <t xml:space="preserve">funct5=10100</t>
  </si>
  <si>
    <t xml:space="preserve">atomik max (signed)</t>
  </si>
  <si>
    <t xml:space="preserve">AMOMINU.W</t>
  </si>
  <si>
    <t xml:space="preserve">funct5=11000</t>
  </si>
  <si>
    <t xml:space="preserve">atomik min (unsigned)</t>
  </si>
  <si>
    <t xml:space="preserve">AMOMAXU.W</t>
  </si>
  <si>
    <t xml:space="preserve">funct5=11100</t>
  </si>
  <si>
    <t xml:space="preserve">atomik max (unsigned)</t>
  </si>
  <si>
    <t xml:space="preserve">C.ADDI4SPN</t>
  </si>
  <si>
    <t xml:space="preserve">C</t>
  </si>
  <si>
    <t xml:space="preserve">CIW</t>
  </si>
  <si>
    <t xml:space="preserve">00</t>
  </si>
  <si>
    <t xml:space="preserve">rd' = sp + imm (imm!=0)</t>
  </si>
  <si>
    <t xml:space="preserve">C.LW</t>
  </si>
  <si>
    <t xml:space="preserve">CL</t>
  </si>
  <si>
    <t xml:space="preserve">rd' = mem[rs1'+imm]</t>
  </si>
  <si>
    <t xml:space="preserve">C.SW</t>
  </si>
  <si>
    <t xml:space="preserve">CS</t>
  </si>
  <si>
    <t xml:space="preserve">mem[rs1'+imm] = rs2'</t>
  </si>
  <si>
    <t xml:space="preserve">C.FLW</t>
  </si>
  <si>
    <t xml:space="preserve">Zcf</t>
  </si>
  <si>
    <t xml:space="preserve">f-load (RV32FC)</t>
  </si>
  <si>
    <t xml:space="preserve">C.FSW</t>
  </si>
  <si>
    <t xml:space="preserve">f-store (RV32FC)</t>
  </si>
  <si>
    <t xml:space="preserve">C.NOP/C.ADDI</t>
  </si>
  <si>
    <t xml:space="preserve">CI</t>
  </si>
  <si>
    <t xml:space="preserve">01</t>
  </si>
  <si>
    <t xml:space="preserve">rd += imm (NOP if rd=0)</t>
  </si>
  <si>
    <t xml:space="preserve">C.JAL</t>
  </si>
  <si>
    <t xml:space="preserve">CJ</t>
  </si>
  <si>
    <t xml:space="preserve">ra=PC+2; jump (RV32)</t>
  </si>
  <si>
    <t xml:space="preserve">C.LI</t>
  </si>
  <si>
    <t xml:space="preserve">rd = imm</t>
  </si>
  <si>
    <t xml:space="preserve">C.LUI/C.ADDI16SP</t>
  </si>
  <si>
    <t xml:space="preserve">rd=2→ADDI16SP</t>
  </si>
  <si>
    <t xml:space="preserve">rd = imm&lt;&lt;12 / sp += imm</t>
  </si>
  <si>
    <t xml:space="preserve">C.SRLI</t>
  </si>
  <si>
    <t xml:space="preserve">CB</t>
  </si>
  <si>
    <t xml:space="preserve">funct2=00</t>
  </si>
  <si>
    <t xml:space="preserve">rd' &gt;&gt;= imm (logic)</t>
  </si>
  <si>
    <t xml:space="preserve">C.SRAI</t>
  </si>
  <si>
    <t xml:space="preserve">funct2=01</t>
  </si>
  <si>
    <t xml:space="preserve">rd' &gt;&gt;= imm (arith)</t>
  </si>
  <si>
    <t xml:space="preserve">C.ANDI</t>
  </si>
  <si>
    <t xml:space="preserve">funct2=10</t>
  </si>
  <si>
    <t xml:space="preserve">rd' &amp;= imm</t>
  </si>
  <si>
    <t xml:space="preserve">C.SUB</t>
  </si>
  <si>
    <t xml:space="preserve">CA</t>
  </si>
  <si>
    <t xml:space="preserve">funct6=100011,f2=00</t>
  </si>
  <si>
    <t xml:space="preserve">rd' -= rs2'</t>
  </si>
  <si>
    <t xml:space="preserve">C.XOR</t>
  </si>
  <si>
    <t xml:space="preserve">funct6=100011,f2=01</t>
  </si>
  <si>
    <t xml:space="preserve">rd' ^= rs2'</t>
  </si>
  <si>
    <t xml:space="preserve">C.OR</t>
  </si>
  <si>
    <t xml:space="preserve">funct6=100011,f2=10</t>
  </si>
  <si>
    <t xml:space="preserve">rd' |= rs2'</t>
  </si>
  <si>
    <t xml:space="preserve">C.AND</t>
  </si>
  <si>
    <t xml:space="preserve">funct6=100011,f2=11</t>
  </si>
  <si>
    <t xml:space="preserve">rd' &amp;= rs2'</t>
  </si>
  <si>
    <t xml:space="preserve">C.J</t>
  </si>
  <si>
    <t xml:space="preserve">jump</t>
  </si>
  <si>
    <t xml:space="preserve">C.BEQZ</t>
  </si>
  <si>
    <t xml:space="preserve">if rs1'==0: branch</t>
  </si>
  <si>
    <t xml:space="preserve">C.BNEZ</t>
  </si>
  <si>
    <t xml:space="preserve">if rs1'!=0: branch</t>
  </si>
  <si>
    <t xml:space="preserve">C.SLLI</t>
  </si>
  <si>
    <t xml:space="preserve">10</t>
  </si>
  <si>
    <t xml:space="preserve">rd &lt;&lt;= imm</t>
  </si>
  <si>
    <t xml:space="preserve">C.LWSP</t>
  </si>
  <si>
    <t xml:space="preserve">rd = mem[sp+imm]</t>
  </si>
  <si>
    <t xml:space="preserve">C.FLWSP</t>
  </si>
  <si>
    <t xml:space="preserve">f-load sp (RV32FC)</t>
  </si>
  <si>
    <t xml:space="preserve">C.JR</t>
  </si>
  <si>
    <t xml:space="preserve">CR</t>
  </si>
  <si>
    <t xml:space="preserve">rs2=0, rd!=0</t>
  </si>
  <si>
    <t xml:space="preserve">PC = rs1</t>
  </si>
  <si>
    <t xml:space="preserve">C.MV</t>
  </si>
  <si>
    <t xml:space="preserve">rs2!=0, funct4=1000</t>
  </si>
  <si>
    <t xml:space="preserve">rd = rs2</t>
  </si>
  <si>
    <t xml:space="preserve">C.EBREAK</t>
  </si>
  <si>
    <t xml:space="preserve">rd=0,rs2=0,funct4=1001</t>
  </si>
  <si>
    <t xml:space="preserve">C.JALR</t>
  </si>
  <si>
    <t xml:space="preserve">rs2=0,rd!=0,funct4=1001</t>
  </si>
  <si>
    <t xml:space="preserve">ra=PC+2; PC=rs1</t>
  </si>
  <si>
    <t xml:space="preserve">C.ADD</t>
  </si>
  <si>
    <t xml:space="preserve">rs2!=0, funct4=1001</t>
  </si>
  <si>
    <t xml:space="preserve">rd += rs2</t>
  </si>
  <si>
    <t xml:space="preserve">C.SWSP</t>
  </si>
  <si>
    <t xml:space="preserve">CSS</t>
  </si>
  <si>
    <t xml:space="preserve">mem[sp+imm] = rs2</t>
  </si>
  <si>
    <t xml:space="preserve">C.FSWSP</t>
  </si>
  <si>
    <t xml:space="preserve">f-store sp (RV32FC)</t>
  </si>
  <si>
    <t xml:space="preserve">SH1ADD</t>
  </si>
  <si>
    <t xml:space="preserve">Zba</t>
  </si>
  <si>
    <t xml:space="preserve">0010000</t>
  </si>
  <si>
    <t xml:space="preserve">(rs1&lt;&lt;1) + rs2</t>
  </si>
  <si>
    <t xml:space="preserve">SH2ADD</t>
  </si>
  <si>
    <t xml:space="preserve">(rs1&lt;&lt;2) + rs2</t>
  </si>
  <si>
    <t xml:space="preserve">SH3ADD</t>
  </si>
  <si>
    <t xml:space="preserve">(rs1&lt;&lt;3) + rs2</t>
  </si>
  <si>
    <t xml:space="preserve">ANDN</t>
  </si>
  <si>
    <t xml:space="preserve">Zbb</t>
  </si>
  <si>
    <t xml:space="preserve">rs1 &amp; ~rs2</t>
  </si>
  <si>
    <t xml:space="preserve">ORN</t>
  </si>
  <si>
    <t xml:space="preserve">rs1 | ~rs2</t>
  </si>
  <si>
    <t xml:space="preserve">XNOR</t>
  </si>
  <si>
    <t xml:space="preserve">~(rs1 ^ rs2)</t>
  </si>
  <si>
    <t xml:space="preserve">CLZ</t>
  </si>
  <si>
    <t xml:space="preserve">0110000 (rs2=00000)</t>
  </si>
  <si>
    <t xml:space="preserve">count leading zeros</t>
  </si>
  <si>
    <t xml:space="preserve">CTZ</t>
  </si>
  <si>
    <t xml:space="preserve">0110000 (rs2=00001)</t>
  </si>
  <si>
    <t xml:space="preserve">count trailing zeros</t>
  </si>
  <si>
    <t xml:space="preserve">CPOP</t>
  </si>
  <si>
    <t xml:space="preserve">0110000 (rs2=00010)</t>
  </si>
  <si>
    <t xml:space="preserve">popcount</t>
  </si>
  <si>
    <t xml:space="preserve">MAX</t>
  </si>
  <si>
    <t xml:space="preserve">0000101</t>
  </si>
  <si>
    <t xml:space="preserve">signed max</t>
  </si>
  <si>
    <t xml:space="preserve">MAXU</t>
  </si>
  <si>
    <t xml:space="preserve">unsigned max</t>
  </si>
  <si>
    <t xml:space="preserve">MIN</t>
  </si>
  <si>
    <t xml:space="preserve">signed min</t>
  </si>
  <si>
    <t xml:space="preserve">MINU</t>
  </si>
  <si>
    <t xml:space="preserve">unsigned min</t>
  </si>
  <si>
    <t xml:space="preserve">SEXT.B</t>
  </si>
  <si>
    <t xml:space="preserve">0110000 (rs2=00100)</t>
  </si>
  <si>
    <t xml:space="preserve">sign-extend byte</t>
  </si>
  <si>
    <t xml:space="preserve">SEXT.H</t>
  </si>
  <si>
    <t xml:space="preserve">0110000 (rs2=00101)</t>
  </si>
  <si>
    <t xml:space="preserve">sign-extend half</t>
  </si>
  <si>
    <t xml:space="preserve">ZEXT.H</t>
  </si>
  <si>
    <t xml:space="preserve">0000100 (rs2=00000)</t>
  </si>
  <si>
    <t xml:space="preserve">zero-extend half (RV32)</t>
  </si>
  <si>
    <t xml:space="preserve">ROL</t>
  </si>
  <si>
    <t xml:space="preserve">0110000</t>
  </si>
  <si>
    <t xml:space="preserve">rotate left</t>
  </si>
  <si>
    <t xml:space="preserve">ROR</t>
  </si>
  <si>
    <t xml:space="preserve">rotate right</t>
  </si>
  <si>
    <t xml:space="preserve">RORI</t>
  </si>
  <si>
    <t xml:space="preserve">0110000 (imm[11:5])</t>
  </si>
  <si>
    <t xml:space="preserve">rotate right (imm)</t>
  </si>
  <si>
    <t xml:space="preserve">ORC.B</t>
  </si>
  <si>
    <t xml:space="preserve">0010100 (rs2=00111)</t>
  </si>
  <si>
    <t xml:space="preserve">OR-combine (byte)</t>
  </si>
  <si>
    <t xml:space="preserve">REV8</t>
  </si>
  <si>
    <t xml:space="preserve">0110100 (rs2=11000)</t>
  </si>
  <si>
    <t xml:space="preserve">byte-reverse (RV32)</t>
  </si>
  <si>
    <t xml:space="preserve">BCLR</t>
  </si>
  <si>
    <t xml:space="preserve">Zbs</t>
  </si>
  <si>
    <t xml:space="preserve">0100100</t>
  </si>
  <si>
    <t xml:space="preserve">clear bit rs2</t>
  </si>
  <si>
    <t xml:space="preserve">BCLRI</t>
  </si>
  <si>
    <t xml:space="preserve">0100100 (imm[11:5])</t>
  </si>
  <si>
    <t xml:space="preserve">clear bit (imm)</t>
  </si>
  <si>
    <t xml:space="preserve">BEXT</t>
  </si>
  <si>
    <t xml:space="preserve">extract bit rs2</t>
  </si>
  <si>
    <t xml:space="preserve">BEXTI</t>
  </si>
  <si>
    <t xml:space="preserve">extract bit (imm)</t>
  </si>
  <si>
    <t xml:space="preserve">BINV</t>
  </si>
  <si>
    <t xml:space="preserve">0110100</t>
  </si>
  <si>
    <t xml:space="preserve">invert bit rs2</t>
  </si>
  <si>
    <t xml:space="preserve">BINVI</t>
  </si>
  <si>
    <t xml:space="preserve">0110100 (imm[11:5])</t>
  </si>
  <si>
    <t xml:space="preserve">invert bit (imm)</t>
  </si>
  <si>
    <t xml:space="preserve">BSET</t>
  </si>
  <si>
    <t xml:space="preserve">0010100</t>
  </si>
  <si>
    <t xml:space="preserve">set bit rs2</t>
  </si>
  <si>
    <t xml:space="preserve">BSETI</t>
  </si>
  <si>
    <t xml:space="preserve">0010100 (imm[11:5])</t>
  </si>
  <si>
    <t xml:space="preserve">set bit (imm)</t>
  </si>
  <si>
    <t xml:space="preserve">CLMUL</t>
  </si>
  <si>
    <t xml:space="preserve">Zbc</t>
  </si>
  <si>
    <t xml:space="preserve">carryless mul (low)</t>
  </si>
  <si>
    <t xml:space="preserve">CLMULH</t>
  </si>
  <si>
    <t xml:space="preserve">carryless mul (high)</t>
  </si>
  <si>
    <t xml:space="preserve">CLMULR</t>
  </si>
  <si>
    <t xml:space="preserve">carryless mul (reversed)</t>
  </si>
  <si>
    <t xml:space="preserve">FLW</t>
  </si>
  <si>
    <t xml:space="preserve">F</t>
  </si>
  <si>
    <t xml:space="preserve">0000111</t>
  </si>
  <si>
    <t xml:space="preserve">rd(f) = mem32</t>
  </si>
  <si>
    <t xml:space="preserve">FSW</t>
  </si>
  <si>
    <t xml:space="preserve">0100111</t>
  </si>
  <si>
    <t xml:space="preserve">mem32 = rs2(f)</t>
  </si>
  <si>
    <t xml:space="preserve">FMADD.S</t>
  </si>
  <si>
    <t xml:space="preserve">R4</t>
  </si>
  <si>
    <t xml:space="preserve">1000011</t>
  </si>
  <si>
    <t xml:space="preserve">rm</t>
  </si>
  <si>
    <t xml:space="preserve">fmt(funct2)=00</t>
  </si>
  <si>
    <t xml:space="preserve">f = rs1*rs2 + rs3</t>
  </si>
  <si>
    <t xml:space="preserve">FMSUB.S</t>
  </si>
  <si>
    <t xml:space="preserve">1000111</t>
  </si>
  <si>
    <t xml:space="preserve">fmt=00</t>
  </si>
  <si>
    <t xml:space="preserve">rs1*rs2 - rs3</t>
  </si>
  <si>
    <t xml:space="preserve">FNMSUB.S</t>
  </si>
  <si>
    <t xml:space="preserve">1001011</t>
  </si>
  <si>
    <t xml:space="preserve">-(rs1*rs2) + rs3</t>
  </si>
  <si>
    <t xml:space="preserve">FNMADD.S</t>
  </si>
  <si>
    <t xml:space="preserve">1001111</t>
  </si>
  <si>
    <t xml:space="preserve">-(rs1*rs2) - rs3</t>
  </si>
  <si>
    <t xml:space="preserve">FADD.S</t>
  </si>
  <si>
    <t xml:space="preserve">1010011</t>
  </si>
  <si>
    <t xml:space="preserve">rs1 + rs2</t>
  </si>
  <si>
    <t xml:space="preserve">FSUB.S</t>
  </si>
  <si>
    <t xml:space="preserve">0000100</t>
  </si>
  <si>
    <t xml:space="preserve">rs1 - rs2</t>
  </si>
  <si>
    <t xml:space="preserve">FMUL.S</t>
  </si>
  <si>
    <t xml:space="preserve">0001000</t>
  </si>
  <si>
    <t xml:space="preserve">rs1 * rs2</t>
  </si>
  <si>
    <t xml:space="preserve">FDIV.S</t>
  </si>
  <si>
    <t xml:space="preserve">0001100</t>
  </si>
  <si>
    <t xml:space="preserve">rs1 / rs2</t>
  </si>
  <si>
    <t xml:space="preserve">FSQRT.S</t>
  </si>
  <si>
    <t xml:space="preserve">0101100 (rs2=0)</t>
  </si>
  <si>
    <t xml:space="preserve">sqrt(rs1)</t>
  </si>
  <si>
    <t xml:space="preserve">FSGNJ.S</t>
  </si>
  <si>
    <t xml:space="preserve">işaret enjekte</t>
  </si>
  <si>
    <t xml:space="preserve">FSGNJN.S</t>
  </si>
  <si>
    <t xml:space="preserve">işaret enjekte (neg)</t>
  </si>
  <si>
    <t xml:space="preserve">FSGNJX.S</t>
  </si>
  <si>
    <t xml:space="preserve">işaret enjekte (xor)</t>
  </si>
  <si>
    <t xml:space="preserve">FMIN.S</t>
  </si>
  <si>
    <t xml:space="preserve">min</t>
  </si>
  <si>
    <t xml:space="preserve">FMAX.S</t>
  </si>
  <si>
    <t xml:space="preserve">max</t>
  </si>
  <si>
    <t xml:space="preserve">FCVT.W.S</t>
  </si>
  <si>
    <t xml:space="preserve">1100000 (rs2=0)</t>
  </si>
  <si>
    <t xml:space="preserve">f → int32</t>
  </si>
  <si>
    <t xml:space="preserve">FCVT.WU.S</t>
  </si>
  <si>
    <t xml:space="preserve">1100000 (rs2=1)</t>
  </si>
  <si>
    <t xml:space="preserve">f → uint32</t>
  </si>
  <si>
    <t xml:space="preserve">FMV.X.W</t>
  </si>
  <si>
    <t xml:space="preserve">1110000 (rs2=0)</t>
  </si>
  <si>
    <t xml:space="preserve">bit kopya f→x</t>
  </si>
  <si>
    <t xml:space="preserve">FEQ.S</t>
  </si>
  <si>
    <t xml:space="preserve">1010000</t>
  </si>
  <si>
    <t xml:space="preserve">rs1 == rs2</t>
  </si>
  <si>
    <t xml:space="preserve">FLT.S</t>
  </si>
  <si>
    <t xml:space="preserve">rs1 &lt; rs2</t>
  </si>
  <si>
    <t xml:space="preserve">FLE.S</t>
  </si>
  <si>
    <t xml:space="preserve">rs1 &lt;= rs2</t>
  </si>
  <si>
    <t xml:space="preserve">FCLASS.S</t>
  </si>
  <si>
    <t xml:space="preserve">sınıflandır</t>
  </si>
  <si>
    <t xml:space="preserve">FCVT.S.W</t>
  </si>
  <si>
    <t xml:space="preserve">1101000 (rs2=0)</t>
  </si>
  <si>
    <t xml:space="preserve">int32 → f</t>
  </si>
  <si>
    <t xml:space="preserve">FCVT.S.WU</t>
  </si>
  <si>
    <t xml:space="preserve">1101000 (rs2=1)</t>
  </si>
  <si>
    <t xml:space="preserve">uint32 → f</t>
  </si>
  <si>
    <t xml:space="preserve">FMV.W.X</t>
  </si>
  <si>
    <t xml:space="preserve">1111000 (rs2=0)</t>
  </si>
  <si>
    <t xml:space="preserve">bit kopya x→f</t>
  </si>
  <si>
    <t xml:space="preserve">V (Vektör, RVV 1.0) — decode yapısı (kategori bazında)</t>
  </si>
  <si>
    <t xml:space="preserve">1) OP-V aritmetik — opcode 1010111, funct6[31:26]=işlem, vm[25]=maske</t>
  </si>
  <si>
    <t xml:space="preserve">Kategori</t>
  </si>
  <si>
    <t xml:space="preserve">Anlamı</t>
  </si>
  <si>
    <t xml:space="preserve">Örnek komutlar</t>
  </si>
  <si>
    <t xml:space="preserve">OPIVV</t>
  </si>
  <si>
    <t xml:space="preserve">vektör-vektör (integer)</t>
  </si>
  <si>
    <t xml:space="preserve">vadd.vv, vand.vv, vmul.vv, vsll.vv</t>
  </si>
  <si>
    <t xml:space="preserve">OPFVV</t>
  </si>
  <si>
    <t xml:space="preserve">vektör-vektör (FP) + FP-reduce</t>
  </si>
  <si>
    <t xml:space="preserve">vfadd.vv, vfmul.vv, vfredosum.vs</t>
  </si>
  <si>
    <t xml:space="preserve">OPMVV</t>
  </si>
  <si>
    <t xml:space="preserve">vektör-vektör (mask/misc/reduce)</t>
  </si>
  <si>
    <t xml:space="preserve">vredsum.vs, vmand.mm, vmv.x.s</t>
  </si>
  <si>
    <t xml:space="preserve">OPIVI</t>
  </si>
  <si>
    <t xml:space="preserve">vektör-immediate (integer)</t>
  </si>
  <si>
    <t xml:space="preserve">vadd.vi, vsll.vi, vmv.v.i</t>
  </si>
  <si>
    <t xml:space="preserve">OPIVX</t>
  </si>
  <si>
    <t xml:space="preserve">vektör-skalar x (integer)</t>
  </si>
  <si>
    <t xml:space="preserve">vadd.vx, vmul.vx, vslide1up.vx</t>
  </si>
  <si>
    <t xml:space="preserve">OPFVF</t>
  </si>
  <si>
    <t xml:space="preserve">vektör-skalar f (FP)</t>
  </si>
  <si>
    <t xml:space="preserve">vfadd.vf, vfmul.vf, vfslide1up.vf</t>
  </si>
  <si>
    <t xml:space="preserve">OPMVX</t>
  </si>
  <si>
    <t xml:space="preserve">vektör-skalar x (mask/misc)</t>
  </si>
  <si>
    <t xml:space="preserve">vmv.s.x, vslide1down.vx</t>
  </si>
  <si>
    <t xml:space="preserve">OPCFG</t>
  </si>
  <si>
    <t xml:space="preserve">konfigürasyon (vset*)</t>
  </si>
  <si>
    <t xml:space="preserve">vsetvli, vsetivli, vsetvl</t>
  </si>
  <si>
    <t xml:space="preserve">2) Konfigürasyon (vset*) — opcode 1010111, funct3=111</t>
  </si>
  <si>
    <t xml:space="preserve">Komut</t>
  </si>
  <si>
    <t xml:space="preserve">Kodlama [31..0]</t>
  </si>
  <si>
    <t xml:space="preserve">vsetvli</t>
  </si>
  <si>
    <t xml:space="preserve">0 | zimm[10:0] | rs1 | 111 | rd | 1010111</t>
  </si>
  <si>
    <t xml:space="preserve">vtype=zimm; vl=f(rs1,vtype)</t>
  </si>
  <si>
    <t xml:space="preserve">vsetivli</t>
  </si>
  <si>
    <t xml:space="preserve">11 | zimm[9:0] | uimm[4:0] | 111 | rd | 1010111</t>
  </si>
  <si>
    <t xml:space="preserve">vtype=zimm; vl=uimm (imm)</t>
  </si>
  <si>
    <t xml:space="preserve">vsetvl</t>
  </si>
  <si>
    <t xml:space="preserve">1000000 | rs2 | rs1 | 111 | rd | 1010111</t>
  </si>
  <si>
    <t xml:space="preserve">vtype=rs2; vl=f(rs1,rs2)</t>
  </si>
  <si>
    <t xml:space="preserve">3) Vektör Load/Store — opcode LOAD-FP 0000111 / STORE-FP 0100111</t>
  </si>
  <si>
    <t xml:space="preserve">Alan yapısı: nf[31:29] | mew[28] | mop[27:26] | vm[25] | lumop/rs2/vs2[24:20] | rs1[19:15] | width[14:12] | vd/vs3[11:7] | opcode</t>
  </si>
  <si>
    <t xml:space="preserve">mop[27:26]</t>
  </si>
  <si>
    <t xml:space="preserve">width(funct3)</t>
  </si>
  <si>
    <t xml:space="preserve">Adresleme modu</t>
  </si>
  <si>
    <t xml:space="preserve">000/101/110</t>
  </si>
  <si>
    <t xml:space="preserve">unit-stride</t>
  </si>
  <si>
    <t xml:space="preserve">ardışık; ayrıca whole-register &amp; mask (lumop ile)</t>
  </si>
  <si>
    <t xml:space="preserve">(aynı)</t>
  </si>
  <si>
    <t xml:space="preserve">strided</t>
  </si>
  <si>
    <t xml:space="preserve">rs2 = byte stride</t>
  </si>
  <si>
    <t xml:space="preserve">indexed-unordered</t>
  </si>
  <si>
    <t xml:space="preserve">vs2 = offset vektörü (gather/scatter)</t>
  </si>
  <si>
    <t xml:space="preserve">11</t>
  </si>
  <si>
    <t xml:space="preserve">indexed-ordered</t>
  </si>
  <si>
    <t xml:space="preserve">sıralı indexed</t>
  </si>
  <si>
    <t xml:space="preserve">width: 000=8b, 101=16b, 110=32b (mew=0). Segment (nf&gt;0) her modda geçerli.</t>
  </si>
  <si>
    <t xml:space="preserve">4) Yaklaşık komut sayıları (kategori)</t>
  </si>
  <si>
    <t xml:space="preserve">~Adet</t>
  </si>
  <si>
    <t xml:space="preserve">Örnekler</t>
  </si>
  <si>
    <t xml:space="preserve">Integer aritmetik</t>
  </si>
  <si>
    <t xml:space="preserve">~120</t>
  </si>
  <si>
    <t xml:space="preserve">vadd/vsub/vrsub/vwadd/vmul/vmulh/vdiv/vrem/vmacc/vmerge (.vv/.vx/.vi)</t>
  </si>
  <si>
    <t xml:space="preserve">Fixed-point</t>
  </si>
  <si>
    <t xml:space="preserve">~25</t>
  </si>
  <si>
    <t xml:space="preserve">vsadd/vssub/vaadd/vsmul/vssrl/vnclip</t>
  </si>
  <si>
    <t xml:space="preserve">Kayan nokta (FP)</t>
  </si>
  <si>
    <t xml:space="preserve">~70</t>
  </si>
  <si>
    <t xml:space="preserve">vfadd/vfmul/vfdiv/vfsqrt/vfmacc/vfmin/vfcvt/vfclass/vfmerge</t>
  </si>
  <si>
    <t xml:space="preserve">Karşılaştırma → maske</t>
  </si>
  <si>
    <t xml:space="preserve">~20</t>
  </si>
  <si>
    <t xml:space="preserve">vmseq/vmsne/vmslt/vmsle/vmsgt</t>
  </si>
  <si>
    <t xml:space="preserve">Reduction</t>
  </si>
  <si>
    <t xml:space="preserve">~15</t>
  </si>
  <si>
    <t xml:space="preserve">vredsum/vredmax/vredand/vfredosum/vfredmax</t>
  </si>
  <si>
    <t xml:space="preserve">Maske komutları</t>
  </si>
  <si>
    <t xml:space="preserve">vmand/vmor/vmxor/vmsbf/vmsif/vcpop.m/vfirst.m/viota.m/vid.v</t>
  </si>
  <si>
    <t xml:space="preserve">Permütasyon/hareket</t>
  </si>
  <si>
    <t xml:space="preserve">vslideup/vslidedown/vslide1up/vrgather/vcompress/vmv.x.s</t>
  </si>
  <si>
    <t xml:space="preserve">Load/Store</t>
  </si>
  <si>
    <t xml:space="preserve">~60</t>
  </si>
  <si>
    <t xml:space="preserve">unit-stride/strided/indexed/whole-reg/segment × {8,16,32}-bit</t>
  </si>
  <si>
    <t xml:space="preserve">Konfigürasyon</t>
  </si>
  <si>
    <t xml:space="preserve">3</t>
  </si>
  <si>
    <t xml:space="preserve">vsetvli / vsetivli / vsetvl</t>
  </si>
  <si>
    <t xml:space="preserve">TOPLAM ≈ 350+ (RVV 1.0; sayım varyantlara göre değişir — bu bir tahmindir)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</si>
</sst>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onsolas"/>
      <family val="0"/>
      <charset val="1"/>
    </font>
    <font>
      <b val="true"/>
      <i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AF1FB"/>
      </patternFill>
    </fill>
    <fill>
      <patternFill patternType="solid">
        <fgColor rgb="FFEAF1FB"/>
        <bgColor rgb="FFE6F4F7"/>
      </patternFill>
    </fill>
    <fill>
      <patternFill patternType="solid">
        <fgColor rgb="FFFDEFE6"/>
        <bgColor rgb="FFFBEAF0"/>
      </patternFill>
    </fill>
    <fill>
      <patternFill patternType="solid">
        <fgColor rgb="FFE7F5EC"/>
        <bgColor rgb="FFE6F4F7"/>
      </patternFill>
    </fill>
    <fill>
      <patternFill patternType="solid">
        <fgColor rgb="FFFBEAF0"/>
        <bgColor rgb="FFFDEFE6"/>
      </patternFill>
    </fill>
    <fill>
      <patternFill patternType="solid">
        <fgColor rgb="FFF3EEFB"/>
        <bgColor rgb="FFEAF1FB"/>
      </patternFill>
    </fill>
    <fill>
      <patternFill patternType="solid">
        <fgColor rgb="FFFFF7E0"/>
        <bgColor rgb="FFFDEFE6"/>
      </patternFill>
    </fill>
    <fill>
      <patternFill patternType="solid">
        <fgColor rgb="FFE6F4F7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6F4F7"/>
          <bgColor rgb="FF000000"/>
        </patternFill>
      </fill>
    </dxf>
    <dxf>
      <fill>
        <patternFill patternType="solid">
          <fgColor rgb="FFE7F5EC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3EEFB"/>
          <bgColor rgb="FF000000"/>
        </patternFill>
      </fill>
    </dxf>
    <dxf>
      <fill>
        <patternFill patternType="solid">
          <fgColor rgb="FFFBEAF0"/>
          <bgColor rgb="FF000000"/>
        </patternFill>
      </fill>
    </dxf>
    <dxf>
      <fill>
        <patternFill patternType="solid">
          <fgColor rgb="FFFDEFE6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7E0"/>
      <rgbColor rgb="FFE6F4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EC"/>
      <rgbColor rgb="FFEAF1FB"/>
      <rgbColor rgb="FFFDEFE6"/>
      <rgbColor rgb="FFF3EEFB"/>
      <rgbColor rgb="FFFF99CC"/>
      <rgbColor rgb="FFCC99FF"/>
      <rgbColor rgb="FFFBEAF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51" zoomScaleNormal="151" zoomScalePageLayoutView="100" workbookViewId="0">
      <selection pane="topLeft" activeCell="B12" activeCellId="0" sqref="B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3" min="3" style="1" width="52"/>
  </cols>
  <sheetData>
    <row r="1" customFormat="false" ht="18.55" hidden="false" customHeight="false" outlineLevel="0" collapsed="false">
      <c r="A1" s="2" t="s">
        <v>0</v>
      </c>
      <c r="B1" s="2"/>
      <c r="C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23.85" hidden="false" customHeight="false" outlineLevel="0" collapsed="false">
      <c r="A4" s="4" t="s">
        <v>4</v>
      </c>
      <c r="B4" s="5" t="n">
        <f aca="false">COUNTIF('Komutlar (skalar)'!$B$2:$B$500,"I")</f>
        <v>40</v>
      </c>
      <c r="C4" s="6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COUNTIF('Komutlar (skalar)'!$B$2:$B$500,"Zicsr")</f>
        <v>6</v>
      </c>
      <c r="C5" s="6" t="s">
        <v>7</v>
      </c>
    </row>
    <row r="6" customFormat="false" ht="15" hidden="false" customHeight="false" outlineLevel="0" collapsed="false">
      <c r="A6" s="4" t="s">
        <v>8</v>
      </c>
      <c r="B6" s="5" t="n">
        <f aca="false">COUNTIF('Komutlar (skalar)'!$B$2:$B$500,"Zifencei")</f>
        <v>1</v>
      </c>
      <c r="C6" s="6" t="s">
        <v>9</v>
      </c>
    </row>
    <row r="7" customFormat="false" ht="15" hidden="false" customHeight="false" outlineLevel="0" collapsed="false">
      <c r="A7" s="4" t="s">
        <v>10</v>
      </c>
      <c r="B7" s="5" t="n">
        <f aca="false">COUNTIF('Komutlar (skalar)'!$B$2:$B$500,"M")</f>
        <v>8</v>
      </c>
      <c r="C7" s="6" t="s">
        <v>11</v>
      </c>
    </row>
    <row r="8" customFormat="false" ht="15" hidden="false" customHeight="false" outlineLevel="0" collapsed="false">
      <c r="A8" s="4" t="s">
        <v>12</v>
      </c>
      <c r="B8" s="5" t="n">
        <f aca="false">COUNTIF('Komutlar (skalar)'!$B$2:$B$500,"A")</f>
        <v>11</v>
      </c>
      <c r="C8" s="6" t="s">
        <v>13</v>
      </c>
    </row>
    <row r="9" customFormat="false" ht="23.85" hidden="false" customHeight="false" outlineLevel="0" collapsed="false">
      <c r="A9" s="4" t="s">
        <v>14</v>
      </c>
      <c r="B9" s="5" t="n">
        <f aca="false">COUNTIF('Komutlar (skalar)'!$B$2:$B$500,"C")</f>
        <v>29</v>
      </c>
      <c r="C9" s="6" t="s">
        <v>15</v>
      </c>
    </row>
    <row r="10" customFormat="false" ht="15" hidden="false" customHeight="false" outlineLevel="0" collapsed="false">
      <c r="A10" s="4" t="s">
        <v>16</v>
      </c>
      <c r="B10" s="5" t="n">
        <f aca="false">COUNTIF('Komutlar (skalar)'!$B$2:$B$500,"B")</f>
        <v>29</v>
      </c>
      <c r="C10" s="6" t="s">
        <v>17</v>
      </c>
    </row>
    <row r="11" customFormat="false" ht="15" hidden="false" customHeight="false" outlineLevel="0" collapsed="false">
      <c r="A11" s="4" t="s">
        <v>18</v>
      </c>
      <c r="B11" s="5" t="n">
        <f aca="false">COUNTIF('Komutlar (skalar)'!$B$2:$B$500,"Zbc")</f>
        <v>3</v>
      </c>
      <c r="C11" s="6" t="s">
        <v>19</v>
      </c>
    </row>
    <row r="12" customFormat="false" ht="15" hidden="false" customHeight="false" outlineLevel="0" collapsed="false">
      <c r="A12" s="4" t="s">
        <v>20</v>
      </c>
      <c r="B12" s="5" t="n">
        <f aca="false">COUNTIF('Komutlar (skalar)'!$B$2:$B$500,"F")</f>
        <v>26</v>
      </c>
      <c r="C12" s="6" t="s">
        <v>21</v>
      </c>
    </row>
    <row r="13" customFormat="false" ht="23.85" hidden="false" customHeight="false" outlineLevel="0" collapsed="false">
      <c r="A13" s="4" t="s">
        <v>22</v>
      </c>
      <c r="B13" s="7" t="s">
        <v>23</v>
      </c>
      <c r="C13" s="6" t="s">
        <v>24</v>
      </c>
    </row>
    <row r="14" customFormat="false" ht="15" hidden="false" customHeight="false" outlineLevel="0" collapsed="false">
      <c r="A14" s="8" t="s">
        <v>25</v>
      </c>
      <c r="B14" s="9" t="n">
        <f aca="false">SUM(B4:B12)</f>
        <v>153</v>
      </c>
      <c r="C14" s="10" t="s">
        <v>26</v>
      </c>
    </row>
    <row r="16" customFormat="false" ht="15" hidden="false" customHeight="false" outlineLevel="0" collapsed="false">
      <c r="A16" s="11" t="s">
        <v>3</v>
      </c>
      <c r="B16" s="11"/>
      <c r="C16" s="11"/>
    </row>
    <row r="17" customFormat="false" ht="15" hidden="false" customHeight="false" outlineLevel="0" collapsed="false">
      <c r="A17" s="12" t="s">
        <v>27</v>
      </c>
      <c r="B17" s="12"/>
      <c r="C17" s="12"/>
    </row>
    <row r="18" customFormat="false" ht="15" hidden="false" customHeight="false" outlineLevel="0" collapsed="false">
      <c r="A18" s="12" t="s">
        <v>28</v>
      </c>
      <c r="B18" s="12"/>
      <c r="C18" s="12"/>
    </row>
    <row r="19" customFormat="false" ht="15" hidden="false" customHeight="false" outlineLevel="0" collapsed="false">
      <c r="A19" s="12" t="s">
        <v>29</v>
      </c>
      <c r="B19" s="12"/>
      <c r="C19" s="12"/>
    </row>
    <row r="20" customFormat="false" ht="15" hidden="false" customHeight="false" outlineLevel="0" collapsed="false">
      <c r="A20" s="12" t="s">
        <v>30</v>
      </c>
      <c r="B20" s="12"/>
      <c r="C20" s="12"/>
    </row>
  </sheetData>
  <mergeCells count="6">
    <mergeCell ref="A1:C1"/>
    <mergeCell ref="A16:C16"/>
    <mergeCell ref="A17:C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4"/>
  <sheetViews>
    <sheetView showFormulas="false" showGridLines="true" showRowColHeaders="true" showZeros="true" rightToLeft="false" tabSelected="true" showOutlineSymbols="true" defaultGridColor="true" view="normal" topLeftCell="B1" colorId="64" zoomScale="151" zoomScaleNormal="151" zoomScalePageLayoutView="100" workbookViewId="0">
      <pane xSplit="0" ySplit="1" topLeftCell="A2" activePane="bottomLeft" state="frozen"/>
      <selection pane="topLeft" activeCell="B1" activeCellId="0" sqref="B1"/>
      <selection pane="bottomLeft" activeCell="H2" activeCellId="0" sqref="H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"/>
    <col collapsed="false" customWidth="true" hidden="false" outlineLevel="0" max="4" min="3" style="1" width="8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40"/>
  </cols>
  <sheetData>
    <row r="1" customFormat="false" ht="25.5" hidden="false" customHeight="true" outlineLevel="0" collapsed="false">
      <c r="A1" s="3" t="s">
        <v>31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customFormat="false" ht="15" hidden="false" customHeight="false" outlineLevel="0" collapsed="false">
      <c r="A2" s="13" t="s">
        <v>38</v>
      </c>
      <c r="B2" s="14" t="s">
        <v>39</v>
      </c>
      <c r="C2" s="14"/>
      <c r="D2" s="14" t="s">
        <v>40</v>
      </c>
      <c r="E2" s="15" t="s">
        <v>41</v>
      </c>
      <c r="F2" s="15" t="s">
        <v>42</v>
      </c>
      <c r="G2" s="13" t="s">
        <v>42</v>
      </c>
      <c r="H2" s="16" t="s">
        <v>43</v>
      </c>
    </row>
    <row r="3" customFormat="false" ht="15" hidden="false" customHeight="false" outlineLevel="0" collapsed="false">
      <c r="A3" s="13" t="s">
        <v>44</v>
      </c>
      <c r="B3" s="14" t="s">
        <v>39</v>
      </c>
      <c r="C3" s="14"/>
      <c r="D3" s="14" t="s">
        <v>40</v>
      </c>
      <c r="E3" s="15" t="s">
        <v>45</v>
      </c>
      <c r="F3" s="15" t="s">
        <v>42</v>
      </c>
      <c r="G3" s="13" t="s">
        <v>42</v>
      </c>
      <c r="H3" s="16" t="s">
        <v>46</v>
      </c>
    </row>
    <row r="4" customFormat="false" ht="15" hidden="false" customHeight="false" outlineLevel="0" collapsed="false">
      <c r="A4" s="13" t="s">
        <v>47</v>
      </c>
      <c r="B4" s="14" t="s">
        <v>39</v>
      </c>
      <c r="C4" s="14"/>
      <c r="D4" s="14" t="s">
        <v>48</v>
      </c>
      <c r="E4" s="15" t="s">
        <v>49</v>
      </c>
      <c r="F4" s="15" t="s">
        <v>42</v>
      </c>
      <c r="G4" s="13" t="s">
        <v>42</v>
      </c>
      <c r="H4" s="16" t="s">
        <v>50</v>
      </c>
    </row>
    <row r="5" customFormat="false" ht="15" hidden="false" customHeight="false" outlineLevel="0" collapsed="false">
      <c r="A5" s="13" t="s">
        <v>51</v>
      </c>
      <c r="B5" s="14" t="s">
        <v>39</v>
      </c>
      <c r="C5" s="14"/>
      <c r="D5" s="14" t="s">
        <v>39</v>
      </c>
      <c r="E5" s="15" t="s">
        <v>52</v>
      </c>
      <c r="F5" s="15" t="s">
        <v>53</v>
      </c>
      <c r="G5" s="13" t="s">
        <v>42</v>
      </c>
      <c r="H5" s="16" t="s">
        <v>54</v>
      </c>
    </row>
    <row r="6" customFormat="false" ht="15" hidden="false" customHeight="false" outlineLevel="0" collapsed="false">
      <c r="A6" s="13" t="s">
        <v>55</v>
      </c>
      <c r="B6" s="14" t="s">
        <v>39</v>
      </c>
      <c r="C6" s="14"/>
      <c r="D6" s="14" t="s">
        <v>56</v>
      </c>
      <c r="E6" s="15" t="s">
        <v>57</v>
      </c>
      <c r="F6" s="15" t="s">
        <v>53</v>
      </c>
      <c r="G6" s="13" t="s">
        <v>42</v>
      </c>
      <c r="H6" s="16" t="s">
        <v>58</v>
      </c>
    </row>
    <row r="7" customFormat="false" ht="15" hidden="false" customHeight="false" outlineLevel="0" collapsed="false">
      <c r="A7" s="13" t="s">
        <v>59</v>
      </c>
      <c r="B7" s="14" t="s">
        <v>39</v>
      </c>
      <c r="C7" s="14"/>
      <c r="D7" s="14" t="s">
        <v>56</v>
      </c>
      <c r="E7" s="15" t="s">
        <v>57</v>
      </c>
      <c r="F7" s="15" t="s">
        <v>60</v>
      </c>
      <c r="G7" s="13" t="s">
        <v>42</v>
      </c>
      <c r="H7" s="16" t="s">
        <v>61</v>
      </c>
    </row>
    <row r="8" customFormat="false" ht="15" hidden="false" customHeight="false" outlineLevel="0" collapsed="false">
      <c r="A8" s="13" t="s">
        <v>62</v>
      </c>
      <c r="B8" s="14" t="s">
        <v>39</v>
      </c>
      <c r="C8" s="14"/>
      <c r="D8" s="14" t="s">
        <v>56</v>
      </c>
      <c r="E8" s="15" t="s">
        <v>57</v>
      </c>
      <c r="F8" s="15" t="s">
        <v>63</v>
      </c>
      <c r="G8" s="13" t="s">
        <v>42</v>
      </c>
      <c r="H8" s="16" t="s">
        <v>64</v>
      </c>
    </row>
    <row r="9" customFormat="false" ht="15" hidden="false" customHeight="false" outlineLevel="0" collapsed="false">
      <c r="A9" s="13" t="s">
        <v>65</v>
      </c>
      <c r="B9" s="14" t="s">
        <v>39</v>
      </c>
      <c r="C9" s="14"/>
      <c r="D9" s="14" t="s">
        <v>56</v>
      </c>
      <c r="E9" s="15" t="s">
        <v>57</v>
      </c>
      <c r="F9" s="15" t="s">
        <v>66</v>
      </c>
      <c r="G9" s="13" t="s">
        <v>42</v>
      </c>
      <c r="H9" s="16" t="s">
        <v>67</v>
      </c>
    </row>
    <row r="10" customFormat="false" ht="15" hidden="false" customHeight="false" outlineLevel="0" collapsed="false">
      <c r="A10" s="13" t="s">
        <v>68</v>
      </c>
      <c r="B10" s="14" t="s">
        <v>39</v>
      </c>
      <c r="C10" s="14"/>
      <c r="D10" s="14" t="s">
        <v>56</v>
      </c>
      <c r="E10" s="15" t="s">
        <v>57</v>
      </c>
      <c r="F10" s="15" t="s">
        <v>69</v>
      </c>
      <c r="G10" s="13" t="s">
        <v>42</v>
      </c>
      <c r="H10" s="16" t="s">
        <v>70</v>
      </c>
    </row>
    <row r="11" customFormat="false" ht="15" hidden="false" customHeight="false" outlineLevel="0" collapsed="false">
      <c r="A11" s="13" t="s">
        <v>71</v>
      </c>
      <c r="B11" s="14" t="s">
        <v>39</v>
      </c>
      <c r="C11" s="14"/>
      <c r="D11" s="14" t="s">
        <v>56</v>
      </c>
      <c r="E11" s="15" t="s">
        <v>57</v>
      </c>
      <c r="F11" s="15" t="s">
        <v>72</v>
      </c>
      <c r="G11" s="13" t="s">
        <v>42</v>
      </c>
      <c r="H11" s="16" t="s">
        <v>73</v>
      </c>
    </row>
    <row r="12" customFormat="false" ht="15" hidden="false" customHeight="false" outlineLevel="0" collapsed="false">
      <c r="A12" s="13" t="s">
        <v>74</v>
      </c>
      <c r="B12" s="14" t="s">
        <v>39</v>
      </c>
      <c r="C12" s="14"/>
      <c r="D12" s="14" t="s">
        <v>39</v>
      </c>
      <c r="E12" s="15" t="s">
        <v>75</v>
      </c>
      <c r="F12" s="15" t="s">
        <v>53</v>
      </c>
      <c r="G12" s="13" t="s">
        <v>42</v>
      </c>
      <c r="H12" s="16" t="s">
        <v>76</v>
      </c>
    </row>
    <row r="13" customFormat="false" ht="15" hidden="false" customHeight="false" outlineLevel="0" collapsed="false">
      <c r="A13" s="13" t="s">
        <v>77</v>
      </c>
      <c r="B13" s="14" t="s">
        <v>39</v>
      </c>
      <c r="C13" s="14"/>
      <c r="D13" s="14" t="s">
        <v>39</v>
      </c>
      <c r="E13" s="15" t="s">
        <v>75</v>
      </c>
      <c r="F13" s="15" t="s">
        <v>60</v>
      </c>
      <c r="G13" s="13" t="s">
        <v>42</v>
      </c>
      <c r="H13" s="16" t="s">
        <v>78</v>
      </c>
    </row>
    <row r="14" customFormat="false" ht="15" hidden="false" customHeight="false" outlineLevel="0" collapsed="false">
      <c r="A14" s="13" t="s">
        <v>79</v>
      </c>
      <c r="B14" s="14" t="s">
        <v>39</v>
      </c>
      <c r="C14" s="14"/>
      <c r="D14" s="14" t="s">
        <v>39</v>
      </c>
      <c r="E14" s="15" t="s">
        <v>75</v>
      </c>
      <c r="F14" s="15" t="s">
        <v>80</v>
      </c>
      <c r="G14" s="13" t="s">
        <v>42</v>
      </c>
      <c r="H14" s="16" t="s">
        <v>81</v>
      </c>
    </row>
    <row r="15" customFormat="false" ht="15" hidden="false" customHeight="false" outlineLevel="0" collapsed="false">
      <c r="A15" s="13" t="s">
        <v>82</v>
      </c>
      <c r="B15" s="14" t="s">
        <v>39</v>
      </c>
      <c r="C15" s="14"/>
      <c r="D15" s="14" t="s">
        <v>39</v>
      </c>
      <c r="E15" s="15" t="s">
        <v>75</v>
      </c>
      <c r="F15" s="15" t="s">
        <v>63</v>
      </c>
      <c r="G15" s="13" t="s">
        <v>42</v>
      </c>
      <c r="H15" s="16" t="s">
        <v>83</v>
      </c>
    </row>
    <row r="16" customFormat="false" ht="15" hidden="false" customHeight="false" outlineLevel="0" collapsed="false">
      <c r="A16" s="13" t="s">
        <v>84</v>
      </c>
      <c r="B16" s="14" t="s">
        <v>39</v>
      </c>
      <c r="C16" s="14"/>
      <c r="D16" s="14" t="s">
        <v>39</v>
      </c>
      <c r="E16" s="15" t="s">
        <v>75</v>
      </c>
      <c r="F16" s="15" t="s">
        <v>66</v>
      </c>
      <c r="G16" s="13" t="s">
        <v>42</v>
      </c>
      <c r="H16" s="16" t="s">
        <v>85</v>
      </c>
    </row>
    <row r="17" customFormat="false" ht="15" hidden="false" customHeight="false" outlineLevel="0" collapsed="false">
      <c r="A17" s="13" t="s">
        <v>86</v>
      </c>
      <c r="B17" s="14" t="s">
        <v>39</v>
      </c>
      <c r="C17" s="14"/>
      <c r="D17" s="14" t="s">
        <v>87</v>
      </c>
      <c r="E17" s="15" t="s">
        <v>88</v>
      </c>
      <c r="F17" s="15" t="s">
        <v>53</v>
      </c>
      <c r="G17" s="13" t="s">
        <v>42</v>
      </c>
      <c r="H17" s="16" t="s">
        <v>89</v>
      </c>
    </row>
    <row r="18" customFormat="false" ht="15" hidden="false" customHeight="false" outlineLevel="0" collapsed="false">
      <c r="A18" s="13" t="s">
        <v>90</v>
      </c>
      <c r="B18" s="14" t="s">
        <v>39</v>
      </c>
      <c r="C18" s="14"/>
      <c r="D18" s="14" t="s">
        <v>87</v>
      </c>
      <c r="E18" s="15" t="s">
        <v>88</v>
      </c>
      <c r="F18" s="15" t="s">
        <v>60</v>
      </c>
      <c r="G18" s="13" t="s">
        <v>42</v>
      </c>
      <c r="H18" s="16" t="s">
        <v>91</v>
      </c>
    </row>
    <row r="19" customFormat="false" ht="15" hidden="false" customHeight="false" outlineLevel="0" collapsed="false">
      <c r="A19" s="13" t="s">
        <v>92</v>
      </c>
      <c r="B19" s="14" t="s">
        <v>39</v>
      </c>
      <c r="C19" s="14"/>
      <c r="D19" s="14" t="s">
        <v>87</v>
      </c>
      <c r="E19" s="15" t="s">
        <v>88</v>
      </c>
      <c r="F19" s="15" t="s">
        <v>80</v>
      </c>
      <c r="G19" s="13" t="s">
        <v>42</v>
      </c>
      <c r="H19" s="16" t="s">
        <v>93</v>
      </c>
    </row>
    <row r="20" customFormat="false" ht="15" hidden="false" customHeight="false" outlineLevel="0" collapsed="false">
      <c r="A20" s="13" t="s">
        <v>94</v>
      </c>
      <c r="B20" s="14" t="s">
        <v>39</v>
      </c>
      <c r="C20" s="14"/>
      <c r="D20" s="14" t="s">
        <v>39</v>
      </c>
      <c r="E20" s="15" t="s">
        <v>95</v>
      </c>
      <c r="F20" s="15" t="s">
        <v>53</v>
      </c>
      <c r="G20" s="13" t="s">
        <v>42</v>
      </c>
      <c r="H20" s="16" t="s">
        <v>96</v>
      </c>
    </row>
    <row r="21" customFormat="false" ht="15" hidden="false" customHeight="false" outlineLevel="0" collapsed="false">
      <c r="A21" s="13" t="s">
        <v>97</v>
      </c>
      <c r="B21" s="14" t="s">
        <v>39</v>
      </c>
      <c r="C21" s="14"/>
      <c r="D21" s="14" t="s">
        <v>39</v>
      </c>
      <c r="E21" s="15" t="s">
        <v>95</v>
      </c>
      <c r="F21" s="15" t="s">
        <v>80</v>
      </c>
      <c r="G21" s="13" t="s">
        <v>42</v>
      </c>
      <c r="H21" s="16" t="s">
        <v>98</v>
      </c>
    </row>
    <row r="22" customFormat="false" ht="15" hidden="false" customHeight="false" outlineLevel="0" collapsed="false">
      <c r="A22" s="13" t="s">
        <v>99</v>
      </c>
      <c r="B22" s="14" t="s">
        <v>39</v>
      </c>
      <c r="C22" s="14"/>
      <c r="D22" s="14" t="s">
        <v>39</v>
      </c>
      <c r="E22" s="15" t="s">
        <v>95</v>
      </c>
      <c r="F22" s="15" t="s">
        <v>100</v>
      </c>
      <c r="G22" s="13" t="s">
        <v>42</v>
      </c>
      <c r="H22" s="16" t="s">
        <v>101</v>
      </c>
    </row>
    <row r="23" customFormat="false" ht="15" hidden="false" customHeight="false" outlineLevel="0" collapsed="false">
      <c r="A23" s="13" t="s">
        <v>102</v>
      </c>
      <c r="B23" s="14" t="s">
        <v>39</v>
      </c>
      <c r="C23" s="14"/>
      <c r="D23" s="14" t="s">
        <v>39</v>
      </c>
      <c r="E23" s="15" t="s">
        <v>95</v>
      </c>
      <c r="F23" s="15" t="s">
        <v>63</v>
      </c>
      <c r="G23" s="13" t="s">
        <v>42</v>
      </c>
      <c r="H23" s="16" t="s">
        <v>103</v>
      </c>
    </row>
    <row r="24" customFormat="false" ht="15" hidden="false" customHeight="false" outlineLevel="0" collapsed="false">
      <c r="A24" s="13" t="s">
        <v>104</v>
      </c>
      <c r="B24" s="14" t="s">
        <v>39</v>
      </c>
      <c r="C24" s="14"/>
      <c r="D24" s="14" t="s">
        <v>39</v>
      </c>
      <c r="E24" s="15" t="s">
        <v>95</v>
      </c>
      <c r="F24" s="15" t="s">
        <v>69</v>
      </c>
      <c r="G24" s="13" t="s">
        <v>42</v>
      </c>
      <c r="H24" s="16" t="s">
        <v>105</v>
      </c>
    </row>
    <row r="25" customFormat="false" ht="15" hidden="false" customHeight="false" outlineLevel="0" collapsed="false">
      <c r="A25" s="13" t="s">
        <v>106</v>
      </c>
      <c r="B25" s="14" t="s">
        <v>39</v>
      </c>
      <c r="C25" s="14"/>
      <c r="D25" s="14" t="s">
        <v>39</v>
      </c>
      <c r="E25" s="15" t="s">
        <v>95</v>
      </c>
      <c r="F25" s="15" t="s">
        <v>72</v>
      </c>
      <c r="G25" s="13" t="s">
        <v>42</v>
      </c>
      <c r="H25" s="16" t="s">
        <v>107</v>
      </c>
    </row>
    <row r="26" customFormat="false" ht="15" hidden="false" customHeight="false" outlineLevel="0" collapsed="false">
      <c r="A26" s="13" t="s">
        <v>108</v>
      </c>
      <c r="B26" s="14" t="s">
        <v>39</v>
      </c>
      <c r="C26" s="14"/>
      <c r="D26" s="14" t="s">
        <v>39</v>
      </c>
      <c r="E26" s="15" t="s">
        <v>95</v>
      </c>
      <c r="F26" s="15" t="s">
        <v>60</v>
      </c>
      <c r="G26" s="13" t="s">
        <v>109</v>
      </c>
      <c r="H26" s="16" t="s">
        <v>110</v>
      </c>
    </row>
    <row r="27" customFormat="false" ht="15" hidden="false" customHeight="false" outlineLevel="0" collapsed="false">
      <c r="A27" s="13" t="s">
        <v>111</v>
      </c>
      <c r="B27" s="14" t="s">
        <v>39</v>
      </c>
      <c r="C27" s="14"/>
      <c r="D27" s="14" t="s">
        <v>39</v>
      </c>
      <c r="E27" s="15" t="s">
        <v>95</v>
      </c>
      <c r="F27" s="15" t="s">
        <v>66</v>
      </c>
      <c r="G27" s="13" t="s">
        <v>109</v>
      </c>
      <c r="H27" s="16" t="s">
        <v>112</v>
      </c>
    </row>
    <row r="28" customFormat="false" ht="15" hidden="false" customHeight="false" outlineLevel="0" collapsed="false">
      <c r="A28" s="13" t="s">
        <v>113</v>
      </c>
      <c r="B28" s="14" t="s">
        <v>39</v>
      </c>
      <c r="C28" s="14"/>
      <c r="D28" s="14" t="s">
        <v>39</v>
      </c>
      <c r="E28" s="15" t="s">
        <v>95</v>
      </c>
      <c r="F28" s="15" t="s">
        <v>66</v>
      </c>
      <c r="G28" s="13" t="s">
        <v>114</v>
      </c>
      <c r="H28" s="16" t="s">
        <v>115</v>
      </c>
    </row>
    <row r="29" customFormat="false" ht="15" hidden="false" customHeight="false" outlineLevel="0" collapsed="false">
      <c r="A29" s="13" t="s">
        <v>116</v>
      </c>
      <c r="B29" s="14" t="s">
        <v>39</v>
      </c>
      <c r="C29" s="14"/>
      <c r="D29" s="14" t="s">
        <v>117</v>
      </c>
      <c r="E29" s="15" t="s">
        <v>118</v>
      </c>
      <c r="F29" s="15" t="s">
        <v>53</v>
      </c>
      <c r="G29" s="13" t="s">
        <v>119</v>
      </c>
      <c r="H29" s="16" t="s">
        <v>120</v>
      </c>
    </row>
    <row r="30" customFormat="false" ht="15" hidden="false" customHeight="false" outlineLevel="0" collapsed="false">
      <c r="A30" s="13" t="s">
        <v>121</v>
      </c>
      <c r="B30" s="14" t="s">
        <v>39</v>
      </c>
      <c r="C30" s="14"/>
      <c r="D30" s="14" t="s">
        <v>117</v>
      </c>
      <c r="E30" s="15" t="s">
        <v>118</v>
      </c>
      <c r="F30" s="15" t="s">
        <v>53</v>
      </c>
      <c r="G30" s="13" t="s">
        <v>122</v>
      </c>
      <c r="H30" s="16" t="s">
        <v>123</v>
      </c>
    </row>
    <row r="31" customFormat="false" ht="15" hidden="false" customHeight="false" outlineLevel="0" collapsed="false">
      <c r="A31" s="13" t="s">
        <v>124</v>
      </c>
      <c r="B31" s="14" t="s">
        <v>39</v>
      </c>
      <c r="C31" s="14"/>
      <c r="D31" s="14" t="s">
        <v>117</v>
      </c>
      <c r="E31" s="15" t="s">
        <v>118</v>
      </c>
      <c r="F31" s="15" t="s">
        <v>60</v>
      </c>
      <c r="G31" s="13" t="s">
        <v>119</v>
      </c>
      <c r="H31" s="16" t="s">
        <v>125</v>
      </c>
    </row>
    <row r="32" customFormat="false" ht="15" hidden="false" customHeight="false" outlineLevel="0" collapsed="false">
      <c r="A32" s="13" t="s">
        <v>126</v>
      </c>
      <c r="B32" s="14" t="s">
        <v>39</v>
      </c>
      <c r="C32" s="14"/>
      <c r="D32" s="14" t="s">
        <v>117</v>
      </c>
      <c r="E32" s="15" t="s">
        <v>118</v>
      </c>
      <c r="F32" s="15" t="s">
        <v>80</v>
      </c>
      <c r="G32" s="13" t="s">
        <v>119</v>
      </c>
      <c r="H32" s="16" t="s">
        <v>127</v>
      </c>
    </row>
    <row r="33" customFormat="false" ht="15" hidden="false" customHeight="false" outlineLevel="0" collapsed="false">
      <c r="A33" s="13" t="s">
        <v>128</v>
      </c>
      <c r="B33" s="14" t="s">
        <v>39</v>
      </c>
      <c r="C33" s="14"/>
      <c r="D33" s="14" t="s">
        <v>117</v>
      </c>
      <c r="E33" s="15" t="s">
        <v>118</v>
      </c>
      <c r="F33" s="15" t="s">
        <v>100</v>
      </c>
      <c r="G33" s="13" t="s">
        <v>119</v>
      </c>
      <c r="H33" s="16" t="s">
        <v>129</v>
      </c>
    </row>
    <row r="34" customFormat="false" ht="15" hidden="false" customHeight="false" outlineLevel="0" collapsed="false">
      <c r="A34" s="13" t="s">
        <v>130</v>
      </c>
      <c r="B34" s="14" t="s">
        <v>39</v>
      </c>
      <c r="C34" s="14"/>
      <c r="D34" s="14" t="s">
        <v>117</v>
      </c>
      <c r="E34" s="15" t="s">
        <v>118</v>
      </c>
      <c r="F34" s="15" t="s">
        <v>63</v>
      </c>
      <c r="G34" s="13" t="s">
        <v>119</v>
      </c>
      <c r="H34" s="16" t="s">
        <v>131</v>
      </c>
    </row>
    <row r="35" customFormat="false" ht="15" hidden="false" customHeight="false" outlineLevel="0" collapsed="false">
      <c r="A35" s="13" t="s">
        <v>132</v>
      </c>
      <c r="B35" s="14" t="s">
        <v>39</v>
      </c>
      <c r="C35" s="14"/>
      <c r="D35" s="14" t="s">
        <v>117</v>
      </c>
      <c r="E35" s="15" t="s">
        <v>118</v>
      </c>
      <c r="F35" s="15" t="s">
        <v>66</v>
      </c>
      <c r="G35" s="13" t="s">
        <v>119</v>
      </c>
      <c r="H35" s="16" t="s">
        <v>133</v>
      </c>
    </row>
    <row r="36" customFormat="false" ht="15" hidden="false" customHeight="false" outlineLevel="0" collapsed="false">
      <c r="A36" s="13" t="s">
        <v>134</v>
      </c>
      <c r="B36" s="14" t="s">
        <v>39</v>
      </c>
      <c r="C36" s="14"/>
      <c r="D36" s="14" t="s">
        <v>117</v>
      </c>
      <c r="E36" s="15" t="s">
        <v>118</v>
      </c>
      <c r="F36" s="15" t="s">
        <v>66</v>
      </c>
      <c r="G36" s="13" t="s">
        <v>122</v>
      </c>
      <c r="H36" s="16" t="s">
        <v>135</v>
      </c>
    </row>
    <row r="37" customFormat="false" ht="15" hidden="false" customHeight="false" outlineLevel="0" collapsed="false">
      <c r="A37" s="13" t="s">
        <v>136</v>
      </c>
      <c r="B37" s="14" t="s">
        <v>39</v>
      </c>
      <c r="C37" s="14"/>
      <c r="D37" s="14" t="s">
        <v>117</v>
      </c>
      <c r="E37" s="15" t="s">
        <v>118</v>
      </c>
      <c r="F37" s="15" t="s">
        <v>69</v>
      </c>
      <c r="G37" s="13" t="s">
        <v>119</v>
      </c>
      <c r="H37" s="16" t="s">
        <v>137</v>
      </c>
    </row>
    <row r="38" customFormat="false" ht="15" hidden="false" customHeight="false" outlineLevel="0" collapsed="false">
      <c r="A38" s="13" t="s">
        <v>138</v>
      </c>
      <c r="B38" s="14" t="s">
        <v>39</v>
      </c>
      <c r="C38" s="14"/>
      <c r="D38" s="14" t="s">
        <v>117</v>
      </c>
      <c r="E38" s="15" t="s">
        <v>118</v>
      </c>
      <c r="F38" s="15" t="s">
        <v>72</v>
      </c>
      <c r="G38" s="13" t="s">
        <v>119</v>
      </c>
      <c r="H38" s="16" t="s">
        <v>139</v>
      </c>
    </row>
    <row r="39" customFormat="false" ht="15" hidden="false" customHeight="false" outlineLevel="0" collapsed="false">
      <c r="A39" s="13" t="s">
        <v>140</v>
      </c>
      <c r="B39" s="14" t="s">
        <v>39</v>
      </c>
      <c r="C39" s="14"/>
      <c r="D39" s="14" t="s">
        <v>39</v>
      </c>
      <c r="E39" s="15" t="s">
        <v>141</v>
      </c>
      <c r="F39" s="15" t="s">
        <v>53</v>
      </c>
      <c r="G39" s="13" t="s">
        <v>42</v>
      </c>
      <c r="H39" s="16" t="s">
        <v>142</v>
      </c>
    </row>
    <row r="40" customFormat="false" ht="15" hidden="false" customHeight="false" outlineLevel="0" collapsed="false">
      <c r="A40" s="13" t="s">
        <v>143</v>
      </c>
      <c r="B40" s="14" t="s">
        <v>39</v>
      </c>
      <c r="C40" s="14"/>
      <c r="D40" s="14" t="s">
        <v>39</v>
      </c>
      <c r="E40" s="15" t="s">
        <v>144</v>
      </c>
      <c r="F40" s="15" t="s">
        <v>53</v>
      </c>
      <c r="G40" s="13" t="s">
        <v>145</v>
      </c>
      <c r="H40" s="16" t="s">
        <v>146</v>
      </c>
    </row>
    <row r="41" customFormat="false" ht="15" hidden="false" customHeight="false" outlineLevel="0" collapsed="false">
      <c r="A41" s="13" t="s">
        <v>147</v>
      </c>
      <c r="B41" s="14" t="s">
        <v>39</v>
      </c>
      <c r="C41" s="14"/>
      <c r="D41" s="14" t="s">
        <v>39</v>
      </c>
      <c r="E41" s="15" t="s">
        <v>144</v>
      </c>
      <c r="F41" s="15" t="s">
        <v>53</v>
      </c>
      <c r="G41" s="13" t="s">
        <v>148</v>
      </c>
      <c r="H41" s="16" t="s">
        <v>149</v>
      </c>
    </row>
    <row r="42" customFormat="false" ht="15" hidden="false" customHeight="false" outlineLevel="0" collapsed="false">
      <c r="A42" s="17" t="s">
        <v>150</v>
      </c>
      <c r="B42" s="18" t="s">
        <v>6</v>
      </c>
      <c r="C42" s="18"/>
      <c r="D42" s="18" t="s">
        <v>39</v>
      </c>
      <c r="E42" s="19" t="s">
        <v>144</v>
      </c>
      <c r="F42" s="19" t="s">
        <v>60</v>
      </c>
      <c r="G42" s="17" t="s">
        <v>42</v>
      </c>
      <c r="H42" s="20" t="s">
        <v>151</v>
      </c>
    </row>
    <row r="43" customFormat="false" ht="15" hidden="false" customHeight="false" outlineLevel="0" collapsed="false">
      <c r="A43" s="17" t="s">
        <v>152</v>
      </c>
      <c r="B43" s="18" t="s">
        <v>6</v>
      </c>
      <c r="C43" s="18"/>
      <c r="D43" s="18" t="s">
        <v>39</v>
      </c>
      <c r="E43" s="19" t="s">
        <v>144</v>
      </c>
      <c r="F43" s="19" t="s">
        <v>80</v>
      </c>
      <c r="G43" s="17" t="s">
        <v>42</v>
      </c>
      <c r="H43" s="20" t="s">
        <v>153</v>
      </c>
    </row>
    <row r="44" customFormat="false" ht="15" hidden="false" customHeight="false" outlineLevel="0" collapsed="false">
      <c r="A44" s="17" t="s">
        <v>154</v>
      </c>
      <c r="B44" s="18" t="s">
        <v>6</v>
      </c>
      <c r="C44" s="18"/>
      <c r="D44" s="18" t="s">
        <v>39</v>
      </c>
      <c r="E44" s="19" t="s">
        <v>144</v>
      </c>
      <c r="F44" s="19" t="s">
        <v>100</v>
      </c>
      <c r="G44" s="17" t="s">
        <v>42</v>
      </c>
      <c r="H44" s="20" t="s">
        <v>155</v>
      </c>
    </row>
    <row r="45" customFormat="false" ht="15" hidden="false" customHeight="false" outlineLevel="0" collapsed="false">
      <c r="A45" s="17" t="s">
        <v>156</v>
      </c>
      <c r="B45" s="18" t="s">
        <v>6</v>
      </c>
      <c r="C45" s="18"/>
      <c r="D45" s="18" t="s">
        <v>39</v>
      </c>
      <c r="E45" s="19" t="s">
        <v>144</v>
      </c>
      <c r="F45" s="19" t="s">
        <v>66</v>
      </c>
      <c r="G45" s="17" t="s">
        <v>42</v>
      </c>
      <c r="H45" s="20" t="s">
        <v>157</v>
      </c>
    </row>
    <row r="46" customFormat="false" ht="15" hidden="false" customHeight="false" outlineLevel="0" collapsed="false">
      <c r="A46" s="17" t="s">
        <v>158</v>
      </c>
      <c r="B46" s="18" t="s">
        <v>6</v>
      </c>
      <c r="C46" s="18"/>
      <c r="D46" s="18" t="s">
        <v>39</v>
      </c>
      <c r="E46" s="19" t="s">
        <v>144</v>
      </c>
      <c r="F46" s="19" t="s">
        <v>69</v>
      </c>
      <c r="G46" s="17" t="s">
        <v>42</v>
      </c>
      <c r="H46" s="20" t="s">
        <v>159</v>
      </c>
    </row>
    <row r="47" customFormat="false" ht="15" hidden="false" customHeight="false" outlineLevel="0" collapsed="false">
      <c r="A47" s="17" t="s">
        <v>160</v>
      </c>
      <c r="B47" s="18" t="s">
        <v>6</v>
      </c>
      <c r="C47" s="18"/>
      <c r="D47" s="18" t="s">
        <v>39</v>
      </c>
      <c r="E47" s="19" t="s">
        <v>144</v>
      </c>
      <c r="F47" s="19" t="s">
        <v>72</v>
      </c>
      <c r="G47" s="17" t="s">
        <v>42</v>
      </c>
      <c r="H47" s="20" t="s">
        <v>161</v>
      </c>
    </row>
    <row r="48" customFormat="false" ht="15" hidden="false" customHeight="false" outlineLevel="0" collapsed="false">
      <c r="A48" s="17" t="s">
        <v>162</v>
      </c>
      <c r="B48" s="18" t="s">
        <v>8</v>
      </c>
      <c r="C48" s="18"/>
      <c r="D48" s="18" t="s">
        <v>39</v>
      </c>
      <c r="E48" s="19" t="s">
        <v>141</v>
      </c>
      <c r="F48" s="19" t="s">
        <v>60</v>
      </c>
      <c r="G48" s="17" t="s">
        <v>42</v>
      </c>
      <c r="H48" s="20" t="s">
        <v>163</v>
      </c>
    </row>
    <row r="49" customFormat="false" ht="15" hidden="false" customHeight="false" outlineLevel="0" collapsed="false">
      <c r="A49" s="21" t="s">
        <v>164</v>
      </c>
      <c r="B49" s="22" t="s">
        <v>10</v>
      </c>
      <c r="C49" s="22"/>
      <c r="D49" s="22" t="s">
        <v>117</v>
      </c>
      <c r="E49" s="23" t="s">
        <v>118</v>
      </c>
      <c r="F49" s="23" t="s">
        <v>53</v>
      </c>
      <c r="G49" s="21" t="s">
        <v>165</v>
      </c>
      <c r="H49" s="24" t="s">
        <v>166</v>
      </c>
    </row>
    <row r="50" customFormat="false" ht="15" hidden="false" customHeight="false" outlineLevel="0" collapsed="false">
      <c r="A50" s="21" t="s">
        <v>167</v>
      </c>
      <c r="B50" s="22" t="s">
        <v>10</v>
      </c>
      <c r="C50" s="22"/>
      <c r="D50" s="22" t="s">
        <v>117</v>
      </c>
      <c r="E50" s="23" t="s">
        <v>118</v>
      </c>
      <c r="F50" s="23" t="s">
        <v>60</v>
      </c>
      <c r="G50" s="21" t="s">
        <v>165</v>
      </c>
      <c r="H50" s="24" t="s">
        <v>168</v>
      </c>
    </row>
    <row r="51" customFormat="false" ht="15" hidden="false" customHeight="false" outlineLevel="0" collapsed="false">
      <c r="A51" s="21" t="s">
        <v>169</v>
      </c>
      <c r="B51" s="22" t="s">
        <v>10</v>
      </c>
      <c r="C51" s="22"/>
      <c r="D51" s="22" t="s">
        <v>117</v>
      </c>
      <c r="E51" s="23" t="s">
        <v>118</v>
      </c>
      <c r="F51" s="23" t="s">
        <v>80</v>
      </c>
      <c r="G51" s="21" t="s">
        <v>165</v>
      </c>
      <c r="H51" s="24" t="s">
        <v>170</v>
      </c>
    </row>
    <row r="52" customFormat="false" ht="15" hidden="false" customHeight="false" outlineLevel="0" collapsed="false">
      <c r="A52" s="21" t="s">
        <v>171</v>
      </c>
      <c r="B52" s="22" t="s">
        <v>10</v>
      </c>
      <c r="C52" s="22"/>
      <c r="D52" s="22" t="s">
        <v>117</v>
      </c>
      <c r="E52" s="23" t="s">
        <v>118</v>
      </c>
      <c r="F52" s="23" t="s">
        <v>100</v>
      </c>
      <c r="G52" s="21" t="s">
        <v>165</v>
      </c>
      <c r="H52" s="24" t="s">
        <v>172</v>
      </c>
    </row>
    <row r="53" customFormat="false" ht="15" hidden="false" customHeight="false" outlineLevel="0" collapsed="false">
      <c r="A53" s="21" t="s">
        <v>173</v>
      </c>
      <c r="B53" s="22" t="s">
        <v>10</v>
      </c>
      <c r="C53" s="22"/>
      <c r="D53" s="22" t="s">
        <v>117</v>
      </c>
      <c r="E53" s="23" t="s">
        <v>118</v>
      </c>
      <c r="F53" s="23" t="s">
        <v>63</v>
      </c>
      <c r="G53" s="21" t="s">
        <v>165</v>
      </c>
      <c r="H53" s="24" t="s">
        <v>174</v>
      </c>
    </row>
    <row r="54" customFormat="false" ht="15" hidden="false" customHeight="false" outlineLevel="0" collapsed="false">
      <c r="A54" s="21" t="s">
        <v>175</v>
      </c>
      <c r="B54" s="22" t="s">
        <v>10</v>
      </c>
      <c r="C54" s="22"/>
      <c r="D54" s="22" t="s">
        <v>117</v>
      </c>
      <c r="E54" s="23" t="s">
        <v>118</v>
      </c>
      <c r="F54" s="23" t="s">
        <v>66</v>
      </c>
      <c r="G54" s="21" t="s">
        <v>165</v>
      </c>
      <c r="H54" s="24" t="s">
        <v>176</v>
      </c>
    </row>
    <row r="55" customFormat="false" ht="15" hidden="false" customHeight="false" outlineLevel="0" collapsed="false">
      <c r="A55" s="21" t="s">
        <v>177</v>
      </c>
      <c r="B55" s="22" t="s">
        <v>10</v>
      </c>
      <c r="C55" s="22"/>
      <c r="D55" s="22" t="s">
        <v>117</v>
      </c>
      <c r="E55" s="23" t="s">
        <v>118</v>
      </c>
      <c r="F55" s="23" t="s">
        <v>69</v>
      </c>
      <c r="G55" s="21" t="s">
        <v>165</v>
      </c>
      <c r="H55" s="24" t="s">
        <v>178</v>
      </c>
    </row>
    <row r="56" customFormat="false" ht="15" hidden="false" customHeight="false" outlineLevel="0" collapsed="false">
      <c r="A56" s="21" t="s">
        <v>179</v>
      </c>
      <c r="B56" s="22" t="s">
        <v>10</v>
      </c>
      <c r="C56" s="22"/>
      <c r="D56" s="22" t="s">
        <v>117</v>
      </c>
      <c r="E56" s="23" t="s">
        <v>118</v>
      </c>
      <c r="F56" s="23" t="s">
        <v>72</v>
      </c>
      <c r="G56" s="21" t="s">
        <v>165</v>
      </c>
      <c r="H56" s="24" t="s">
        <v>180</v>
      </c>
    </row>
    <row r="57" customFormat="false" ht="15" hidden="false" customHeight="false" outlineLevel="0" collapsed="false">
      <c r="A57" s="25" t="s">
        <v>181</v>
      </c>
      <c r="B57" s="26" t="s">
        <v>182</v>
      </c>
      <c r="C57" s="26"/>
      <c r="D57" s="26" t="s">
        <v>117</v>
      </c>
      <c r="E57" s="27" t="s">
        <v>183</v>
      </c>
      <c r="F57" s="27" t="s">
        <v>80</v>
      </c>
      <c r="G57" s="25" t="s">
        <v>184</v>
      </c>
      <c r="H57" s="28" t="s">
        <v>185</v>
      </c>
    </row>
    <row r="58" customFormat="false" ht="15" hidden="false" customHeight="false" outlineLevel="0" collapsed="false">
      <c r="A58" s="25" t="s">
        <v>186</v>
      </c>
      <c r="B58" s="26" t="s">
        <v>182</v>
      </c>
      <c r="C58" s="26"/>
      <c r="D58" s="26" t="s">
        <v>117</v>
      </c>
      <c r="E58" s="27" t="s">
        <v>183</v>
      </c>
      <c r="F58" s="27" t="s">
        <v>80</v>
      </c>
      <c r="G58" s="25" t="s">
        <v>187</v>
      </c>
      <c r="H58" s="28" t="s">
        <v>188</v>
      </c>
    </row>
    <row r="59" customFormat="false" ht="15" hidden="false" customHeight="false" outlineLevel="0" collapsed="false">
      <c r="A59" s="25" t="s">
        <v>189</v>
      </c>
      <c r="B59" s="26" t="s">
        <v>182</v>
      </c>
      <c r="C59" s="26"/>
      <c r="D59" s="26" t="s">
        <v>117</v>
      </c>
      <c r="E59" s="27" t="s">
        <v>183</v>
      </c>
      <c r="F59" s="27" t="s">
        <v>80</v>
      </c>
      <c r="G59" s="25" t="s">
        <v>190</v>
      </c>
      <c r="H59" s="28" t="s">
        <v>191</v>
      </c>
    </row>
    <row r="60" customFormat="false" ht="15" hidden="false" customHeight="false" outlineLevel="0" collapsed="false">
      <c r="A60" s="25" t="s">
        <v>192</v>
      </c>
      <c r="B60" s="26" t="s">
        <v>182</v>
      </c>
      <c r="C60" s="26"/>
      <c r="D60" s="26" t="s">
        <v>117</v>
      </c>
      <c r="E60" s="27" t="s">
        <v>183</v>
      </c>
      <c r="F60" s="27" t="s">
        <v>80</v>
      </c>
      <c r="G60" s="25" t="s">
        <v>193</v>
      </c>
      <c r="H60" s="28" t="s">
        <v>194</v>
      </c>
    </row>
    <row r="61" customFormat="false" ht="15" hidden="false" customHeight="false" outlineLevel="0" collapsed="false">
      <c r="A61" s="25" t="s">
        <v>195</v>
      </c>
      <c r="B61" s="26" t="s">
        <v>182</v>
      </c>
      <c r="C61" s="26"/>
      <c r="D61" s="26" t="s">
        <v>117</v>
      </c>
      <c r="E61" s="27" t="s">
        <v>183</v>
      </c>
      <c r="F61" s="27" t="s">
        <v>80</v>
      </c>
      <c r="G61" s="25" t="s">
        <v>196</v>
      </c>
      <c r="H61" s="28" t="s">
        <v>197</v>
      </c>
    </row>
    <row r="62" customFormat="false" ht="15" hidden="false" customHeight="false" outlineLevel="0" collapsed="false">
      <c r="A62" s="25" t="s">
        <v>198</v>
      </c>
      <c r="B62" s="26" t="s">
        <v>182</v>
      </c>
      <c r="C62" s="26"/>
      <c r="D62" s="26" t="s">
        <v>117</v>
      </c>
      <c r="E62" s="27" t="s">
        <v>183</v>
      </c>
      <c r="F62" s="27" t="s">
        <v>80</v>
      </c>
      <c r="G62" s="25" t="s">
        <v>199</v>
      </c>
      <c r="H62" s="28" t="s">
        <v>200</v>
      </c>
    </row>
    <row r="63" customFormat="false" ht="15" hidden="false" customHeight="false" outlineLevel="0" collapsed="false">
      <c r="A63" s="25" t="s">
        <v>201</v>
      </c>
      <c r="B63" s="26" t="s">
        <v>182</v>
      </c>
      <c r="C63" s="26"/>
      <c r="D63" s="26" t="s">
        <v>117</v>
      </c>
      <c r="E63" s="27" t="s">
        <v>183</v>
      </c>
      <c r="F63" s="27" t="s">
        <v>80</v>
      </c>
      <c r="G63" s="25" t="s">
        <v>202</v>
      </c>
      <c r="H63" s="28" t="s">
        <v>203</v>
      </c>
    </row>
    <row r="64" customFormat="false" ht="15" hidden="false" customHeight="false" outlineLevel="0" collapsed="false">
      <c r="A64" s="25" t="s">
        <v>204</v>
      </c>
      <c r="B64" s="26" t="s">
        <v>182</v>
      </c>
      <c r="C64" s="26"/>
      <c r="D64" s="26" t="s">
        <v>117</v>
      </c>
      <c r="E64" s="27" t="s">
        <v>183</v>
      </c>
      <c r="F64" s="27" t="s">
        <v>80</v>
      </c>
      <c r="G64" s="25" t="s">
        <v>205</v>
      </c>
      <c r="H64" s="28" t="s">
        <v>206</v>
      </c>
    </row>
    <row r="65" customFormat="false" ht="15" hidden="false" customHeight="false" outlineLevel="0" collapsed="false">
      <c r="A65" s="25" t="s">
        <v>207</v>
      </c>
      <c r="B65" s="26" t="s">
        <v>182</v>
      </c>
      <c r="C65" s="26"/>
      <c r="D65" s="26" t="s">
        <v>117</v>
      </c>
      <c r="E65" s="27" t="s">
        <v>183</v>
      </c>
      <c r="F65" s="27" t="s">
        <v>80</v>
      </c>
      <c r="G65" s="25" t="s">
        <v>208</v>
      </c>
      <c r="H65" s="28" t="s">
        <v>209</v>
      </c>
    </row>
    <row r="66" customFormat="false" ht="15" hidden="false" customHeight="false" outlineLevel="0" collapsed="false">
      <c r="A66" s="25" t="s">
        <v>210</v>
      </c>
      <c r="B66" s="26" t="s">
        <v>182</v>
      </c>
      <c r="C66" s="26"/>
      <c r="D66" s="26" t="s">
        <v>117</v>
      </c>
      <c r="E66" s="27" t="s">
        <v>183</v>
      </c>
      <c r="F66" s="27" t="s">
        <v>80</v>
      </c>
      <c r="G66" s="25" t="s">
        <v>211</v>
      </c>
      <c r="H66" s="28" t="s">
        <v>212</v>
      </c>
    </row>
    <row r="67" customFormat="false" ht="15" hidden="false" customHeight="false" outlineLevel="0" collapsed="false">
      <c r="A67" s="25" t="s">
        <v>213</v>
      </c>
      <c r="B67" s="26" t="s">
        <v>182</v>
      </c>
      <c r="C67" s="26"/>
      <c r="D67" s="26" t="s">
        <v>117</v>
      </c>
      <c r="E67" s="27" t="s">
        <v>183</v>
      </c>
      <c r="F67" s="27" t="s">
        <v>80</v>
      </c>
      <c r="G67" s="25" t="s">
        <v>214</v>
      </c>
      <c r="H67" s="28" t="s">
        <v>215</v>
      </c>
    </row>
    <row r="68" customFormat="false" ht="15" hidden="false" customHeight="false" outlineLevel="0" collapsed="false">
      <c r="A68" s="29" t="s">
        <v>216</v>
      </c>
      <c r="B68" s="30" t="s">
        <v>217</v>
      </c>
      <c r="C68" s="30"/>
      <c r="D68" s="30" t="s">
        <v>218</v>
      </c>
      <c r="E68" s="31" t="s">
        <v>219</v>
      </c>
      <c r="F68" s="31" t="s">
        <v>53</v>
      </c>
      <c r="G68" s="29" t="s">
        <v>42</v>
      </c>
      <c r="H68" s="32" t="s">
        <v>220</v>
      </c>
    </row>
    <row r="69" customFormat="false" ht="15" hidden="false" customHeight="false" outlineLevel="0" collapsed="false">
      <c r="A69" s="29" t="s">
        <v>221</v>
      </c>
      <c r="B69" s="30" t="s">
        <v>217</v>
      </c>
      <c r="C69" s="30"/>
      <c r="D69" s="30" t="s">
        <v>222</v>
      </c>
      <c r="E69" s="31" t="s">
        <v>219</v>
      </c>
      <c r="F69" s="31" t="s">
        <v>80</v>
      </c>
      <c r="G69" s="29" t="s">
        <v>42</v>
      </c>
      <c r="H69" s="32" t="s">
        <v>223</v>
      </c>
    </row>
    <row r="70" customFormat="false" ht="15" hidden="false" customHeight="false" outlineLevel="0" collapsed="false">
      <c r="A70" s="29" t="s">
        <v>224</v>
      </c>
      <c r="B70" s="30" t="s">
        <v>217</v>
      </c>
      <c r="C70" s="30"/>
      <c r="D70" s="30" t="s">
        <v>225</v>
      </c>
      <c r="E70" s="31" t="s">
        <v>219</v>
      </c>
      <c r="F70" s="31" t="s">
        <v>69</v>
      </c>
      <c r="G70" s="29" t="s">
        <v>42</v>
      </c>
      <c r="H70" s="32" t="s">
        <v>226</v>
      </c>
    </row>
    <row r="71" customFormat="false" ht="15" hidden="false" customHeight="false" outlineLevel="0" collapsed="false">
      <c r="A71" s="29" t="s">
        <v>227</v>
      </c>
      <c r="B71" s="30" t="s">
        <v>217</v>
      </c>
      <c r="C71" s="30" t="s">
        <v>228</v>
      </c>
      <c r="D71" s="30" t="s">
        <v>222</v>
      </c>
      <c r="E71" s="31" t="s">
        <v>219</v>
      </c>
      <c r="F71" s="31" t="s">
        <v>100</v>
      </c>
      <c r="G71" s="29" t="s">
        <v>42</v>
      </c>
      <c r="H71" s="32" t="s">
        <v>229</v>
      </c>
    </row>
    <row r="72" customFormat="false" ht="15" hidden="false" customHeight="false" outlineLevel="0" collapsed="false">
      <c r="A72" s="29" t="s">
        <v>230</v>
      </c>
      <c r="B72" s="30" t="s">
        <v>217</v>
      </c>
      <c r="C72" s="30" t="s">
        <v>228</v>
      </c>
      <c r="D72" s="30" t="s">
        <v>225</v>
      </c>
      <c r="E72" s="31" t="s">
        <v>219</v>
      </c>
      <c r="F72" s="31" t="s">
        <v>72</v>
      </c>
      <c r="G72" s="29" t="s">
        <v>42</v>
      </c>
      <c r="H72" s="32" t="s">
        <v>231</v>
      </c>
    </row>
    <row r="73" customFormat="false" ht="15" hidden="false" customHeight="false" outlineLevel="0" collapsed="false">
      <c r="A73" s="29" t="s">
        <v>232</v>
      </c>
      <c r="B73" s="30" t="s">
        <v>217</v>
      </c>
      <c r="C73" s="30"/>
      <c r="D73" s="30" t="s">
        <v>233</v>
      </c>
      <c r="E73" s="31" t="s">
        <v>234</v>
      </c>
      <c r="F73" s="31" t="s">
        <v>53</v>
      </c>
      <c r="G73" s="29" t="s">
        <v>42</v>
      </c>
      <c r="H73" s="32" t="s">
        <v>235</v>
      </c>
    </row>
    <row r="74" customFormat="false" ht="15" hidden="false" customHeight="false" outlineLevel="0" collapsed="false">
      <c r="A74" s="29" t="s">
        <v>236</v>
      </c>
      <c r="B74" s="30" t="s">
        <v>217</v>
      </c>
      <c r="C74" s="30"/>
      <c r="D74" s="30" t="s">
        <v>237</v>
      </c>
      <c r="E74" s="31" t="s">
        <v>234</v>
      </c>
      <c r="F74" s="31" t="s">
        <v>60</v>
      </c>
      <c r="G74" s="29" t="s">
        <v>42</v>
      </c>
      <c r="H74" s="32" t="s">
        <v>238</v>
      </c>
    </row>
    <row r="75" customFormat="false" ht="15" hidden="false" customHeight="false" outlineLevel="0" collapsed="false">
      <c r="A75" s="29" t="s">
        <v>239</v>
      </c>
      <c r="B75" s="30" t="s">
        <v>217</v>
      </c>
      <c r="C75" s="30"/>
      <c r="D75" s="30" t="s">
        <v>233</v>
      </c>
      <c r="E75" s="31" t="s">
        <v>234</v>
      </c>
      <c r="F75" s="31" t="s">
        <v>80</v>
      </c>
      <c r="G75" s="29" t="s">
        <v>42</v>
      </c>
      <c r="H75" s="32" t="s">
        <v>240</v>
      </c>
    </row>
    <row r="76" customFormat="false" ht="15" hidden="false" customHeight="false" outlineLevel="0" collapsed="false">
      <c r="A76" s="29" t="s">
        <v>241</v>
      </c>
      <c r="B76" s="30" t="s">
        <v>217</v>
      </c>
      <c r="C76" s="30"/>
      <c r="D76" s="30" t="s">
        <v>233</v>
      </c>
      <c r="E76" s="31" t="s">
        <v>234</v>
      </c>
      <c r="F76" s="31" t="s">
        <v>100</v>
      </c>
      <c r="G76" s="29" t="s">
        <v>242</v>
      </c>
      <c r="H76" s="32" t="s">
        <v>243</v>
      </c>
    </row>
    <row r="77" customFormat="false" ht="15" hidden="false" customHeight="false" outlineLevel="0" collapsed="false">
      <c r="A77" s="29" t="s">
        <v>244</v>
      </c>
      <c r="B77" s="30" t="s">
        <v>217</v>
      </c>
      <c r="C77" s="30"/>
      <c r="D77" s="30" t="s">
        <v>245</v>
      </c>
      <c r="E77" s="31" t="s">
        <v>234</v>
      </c>
      <c r="F77" s="31" t="s">
        <v>63</v>
      </c>
      <c r="G77" s="29" t="s">
        <v>246</v>
      </c>
      <c r="H77" s="32" t="s">
        <v>247</v>
      </c>
    </row>
    <row r="78" customFormat="false" ht="15" hidden="false" customHeight="false" outlineLevel="0" collapsed="false">
      <c r="A78" s="29" t="s">
        <v>248</v>
      </c>
      <c r="B78" s="30" t="s">
        <v>217</v>
      </c>
      <c r="C78" s="30"/>
      <c r="D78" s="30" t="s">
        <v>245</v>
      </c>
      <c r="E78" s="31" t="s">
        <v>234</v>
      </c>
      <c r="F78" s="31" t="s">
        <v>63</v>
      </c>
      <c r="G78" s="29" t="s">
        <v>249</v>
      </c>
      <c r="H78" s="32" t="s">
        <v>250</v>
      </c>
    </row>
    <row r="79" customFormat="false" ht="15" hidden="false" customHeight="false" outlineLevel="0" collapsed="false">
      <c r="A79" s="29" t="s">
        <v>251</v>
      </c>
      <c r="B79" s="30" t="s">
        <v>217</v>
      </c>
      <c r="C79" s="30"/>
      <c r="D79" s="30" t="s">
        <v>245</v>
      </c>
      <c r="E79" s="31" t="s">
        <v>234</v>
      </c>
      <c r="F79" s="31" t="s">
        <v>63</v>
      </c>
      <c r="G79" s="29" t="s">
        <v>252</v>
      </c>
      <c r="H79" s="32" t="s">
        <v>253</v>
      </c>
    </row>
    <row r="80" customFormat="false" ht="15" hidden="false" customHeight="false" outlineLevel="0" collapsed="false">
      <c r="A80" s="29" t="s">
        <v>254</v>
      </c>
      <c r="B80" s="30" t="s">
        <v>217</v>
      </c>
      <c r="C80" s="30"/>
      <c r="D80" s="30" t="s">
        <v>255</v>
      </c>
      <c r="E80" s="31" t="s">
        <v>234</v>
      </c>
      <c r="F80" s="31" t="s">
        <v>63</v>
      </c>
      <c r="G80" s="29" t="s">
        <v>256</v>
      </c>
      <c r="H80" s="32" t="s">
        <v>257</v>
      </c>
    </row>
    <row r="81" customFormat="false" ht="15" hidden="false" customHeight="false" outlineLevel="0" collapsed="false">
      <c r="A81" s="29" t="s">
        <v>258</v>
      </c>
      <c r="B81" s="30" t="s">
        <v>217</v>
      </c>
      <c r="C81" s="30"/>
      <c r="D81" s="30" t="s">
        <v>255</v>
      </c>
      <c r="E81" s="31" t="s">
        <v>234</v>
      </c>
      <c r="F81" s="31" t="s">
        <v>63</v>
      </c>
      <c r="G81" s="29" t="s">
        <v>259</v>
      </c>
      <c r="H81" s="32" t="s">
        <v>260</v>
      </c>
    </row>
    <row r="82" customFormat="false" ht="15" hidden="false" customHeight="false" outlineLevel="0" collapsed="false">
      <c r="A82" s="29" t="s">
        <v>261</v>
      </c>
      <c r="B82" s="30" t="s">
        <v>217</v>
      </c>
      <c r="C82" s="30"/>
      <c r="D82" s="30" t="s">
        <v>255</v>
      </c>
      <c r="E82" s="31" t="s">
        <v>234</v>
      </c>
      <c r="F82" s="31" t="s">
        <v>63</v>
      </c>
      <c r="G82" s="29" t="s">
        <v>262</v>
      </c>
      <c r="H82" s="32" t="s">
        <v>263</v>
      </c>
    </row>
    <row r="83" customFormat="false" ht="15" hidden="false" customHeight="false" outlineLevel="0" collapsed="false">
      <c r="A83" s="29" t="s">
        <v>264</v>
      </c>
      <c r="B83" s="30" t="s">
        <v>217</v>
      </c>
      <c r="C83" s="30"/>
      <c r="D83" s="30" t="s">
        <v>255</v>
      </c>
      <c r="E83" s="31" t="s">
        <v>234</v>
      </c>
      <c r="F83" s="31" t="s">
        <v>63</v>
      </c>
      <c r="G83" s="29" t="s">
        <v>265</v>
      </c>
      <c r="H83" s="32" t="s">
        <v>266</v>
      </c>
    </row>
    <row r="84" customFormat="false" ht="15" hidden="false" customHeight="false" outlineLevel="0" collapsed="false">
      <c r="A84" s="29" t="s">
        <v>267</v>
      </c>
      <c r="B84" s="30" t="s">
        <v>217</v>
      </c>
      <c r="C84" s="30"/>
      <c r="D84" s="30" t="s">
        <v>237</v>
      </c>
      <c r="E84" s="31" t="s">
        <v>234</v>
      </c>
      <c r="F84" s="31" t="s">
        <v>66</v>
      </c>
      <c r="G84" s="29" t="s">
        <v>42</v>
      </c>
      <c r="H84" s="32" t="s">
        <v>268</v>
      </c>
    </row>
    <row r="85" customFormat="false" ht="15" hidden="false" customHeight="false" outlineLevel="0" collapsed="false">
      <c r="A85" s="29" t="s">
        <v>269</v>
      </c>
      <c r="B85" s="30" t="s">
        <v>217</v>
      </c>
      <c r="C85" s="30"/>
      <c r="D85" s="30" t="s">
        <v>245</v>
      </c>
      <c r="E85" s="31" t="s">
        <v>234</v>
      </c>
      <c r="F85" s="31" t="s">
        <v>69</v>
      </c>
      <c r="G85" s="29" t="s">
        <v>42</v>
      </c>
      <c r="H85" s="32" t="s">
        <v>270</v>
      </c>
    </row>
    <row r="86" customFormat="false" ht="15" hidden="false" customHeight="false" outlineLevel="0" collapsed="false">
      <c r="A86" s="29" t="s">
        <v>271</v>
      </c>
      <c r="B86" s="30" t="s">
        <v>217</v>
      </c>
      <c r="C86" s="30"/>
      <c r="D86" s="30" t="s">
        <v>245</v>
      </c>
      <c r="E86" s="31" t="s">
        <v>234</v>
      </c>
      <c r="F86" s="31" t="s">
        <v>72</v>
      </c>
      <c r="G86" s="29" t="s">
        <v>42</v>
      </c>
      <c r="H86" s="32" t="s">
        <v>272</v>
      </c>
    </row>
    <row r="87" customFormat="false" ht="15" hidden="false" customHeight="false" outlineLevel="0" collapsed="false">
      <c r="A87" s="29" t="s">
        <v>273</v>
      </c>
      <c r="B87" s="30" t="s">
        <v>217</v>
      </c>
      <c r="C87" s="30"/>
      <c r="D87" s="30" t="s">
        <v>233</v>
      </c>
      <c r="E87" s="31" t="s">
        <v>274</v>
      </c>
      <c r="F87" s="31" t="s">
        <v>53</v>
      </c>
      <c r="G87" s="29" t="s">
        <v>42</v>
      </c>
      <c r="H87" s="32" t="s">
        <v>275</v>
      </c>
    </row>
    <row r="88" customFormat="false" ht="15" hidden="false" customHeight="false" outlineLevel="0" collapsed="false">
      <c r="A88" s="29" t="s">
        <v>276</v>
      </c>
      <c r="B88" s="30" t="s">
        <v>217</v>
      </c>
      <c r="C88" s="30"/>
      <c r="D88" s="30" t="s">
        <v>233</v>
      </c>
      <c r="E88" s="31" t="s">
        <v>274</v>
      </c>
      <c r="F88" s="31" t="s">
        <v>80</v>
      </c>
      <c r="G88" s="29" t="s">
        <v>42</v>
      </c>
      <c r="H88" s="32" t="s">
        <v>277</v>
      </c>
    </row>
    <row r="89" customFormat="false" ht="15" hidden="false" customHeight="false" outlineLevel="0" collapsed="false">
      <c r="A89" s="29" t="s">
        <v>278</v>
      </c>
      <c r="B89" s="30" t="s">
        <v>217</v>
      </c>
      <c r="C89" s="30" t="s">
        <v>228</v>
      </c>
      <c r="D89" s="30" t="s">
        <v>233</v>
      </c>
      <c r="E89" s="31" t="s">
        <v>274</v>
      </c>
      <c r="F89" s="31" t="s">
        <v>100</v>
      </c>
      <c r="G89" s="29" t="s">
        <v>42</v>
      </c>
      <c r="H89" s="32" t="s">
        <v>279</v>
      </c>
    </row>
    <row r="90" customFormat="false" ht="15" hidden="false" customHeight="false" outlineLevel="0" collapsed="false">
      <c r="A90" s="29" t="s">
        <v>280</v>
      </c>
      <c r="B90" s="30" t="s">
        <v>217</v>
      </c>
      <c r="C90" s="30"/>
      <c r="D90" s="30" t="s">
        <v>281</v>
      </c>
      <c r="E90" s="31" t="s">
        <v>274</v>
      </c>
      <c r="F90" s="31" t="s">
        <v>63</v>
      </c>
      <c r="G90" s="29" t="s">
        <v>282</v>
      </c>
      <c r="H90" s="32" t="s">
        <v>283</v>
      </c>
    </row>
    <row r="91" customFormat="false" ht="15" hidden="false" customHeight="false" outlineLevel="0" collapsed="false">
      <c r="A91" s="29" t="s">
        <v>284</v>
      </c>
      <c r="B91" s="30" t="s">
        <v>217</v>
      </c>
      <c r="C91" s="30"/>
      <c r="D91" s="30" t="s">
        <v>281</v>
      </c>
      <c r="E91" s="31" t="s">
        <v>274</v>
      </c>
      <c r="F91" s="31" t="s">
        <v>63</v>
      </c>
      <c r="G91" s="29" t="s">
        <v>285</v>
      </c>
      <c r="H91" s="32" t="s">
        <v>286</v>
      </c>
    </row>
    <row r="92" customFormat="false" ht="15" hidden="false" customHeight="false" outlineLevel="0" collapsed="false">
      <c r="A92" s="29" t="s">
        <v>287</v>
      </c>
      <c r="B92" s="30" t="s">
        <v>217</v>
      </c>
      <c r="C92" s="30"/>
      <c r="D92" s="30" t="s">
        <v>281</v>
      </c>
      <c r="E92" s="31" t="s">
        <v>274</v>
      </c>
      <c r="F92" s="31" t="s">
        <v>63</v>
      </c>
      <c r="G92" s="29" t="s">
        <v>288</v>
      </c>
      <c r="H92" s="32" t="s">
        <v>149</v>
      </c>
    </row>
    <row r="93" customFormat="false" ht="15" hidden="false" customHeight="false" outlineLevel="0" collapsed="false">
      <c r="A93" s="29" t="s">
        <v>289</v>
      </c>
      <c r="B93" s="30" t="s">
        <v>217</v>
      </c>
      <c r="C93" s="30"/>
      <c r="D93" s="30" t="s">
        <v>281</v>
      </c>
      <c r="E93" s="31" t="s">
        <v>274</v>
      </c>
      <c r="F93" s="31" t="s">
        <v>63</v>
      </c>
      <c r="G93" s="29" t="s">
        <v>290</v>
      </c>
      <c r="H93" s="32" t="s">
        <v>291</v>
      </c>
    </row>
    <row r="94" customFormat="false" ht="15" hidden="false" customHeight="false" outlineLevel="0" collapsed="false">
      <c r="A94" s="29" t="s">
        <v>292</v>
      </c>
      <c r="B94" s="30" t="s">
        <v>217</v>
      </c>
      <c r="C94" s="30"/>
      <c r="D94" s="30" t="s">
        <v>281</v>
      </c>
      <c r="E94" s="31" t="s">
        <v>274</v>
      </c>
      <c r="F94" s="31" t="s">
        <v>63</v>
      </c>
      <c r="G94" s="29" t="s">
        <v>293</v>
      </c>
      <c r="H94" s="32" t="s">
        <v>294</v>
      </c>
    </row>
    <row r="95" customFormat="false" ht="15" hidden="false" customHeight="false" outlineLevel="0" collapsed="false">
      <c r="A95" s="29" t="s">
        <v>295</v>
      </c>
      <c r="B95" s="30" t="s">
        <v>217</v>
      </c>
      <c r="C95" s="30"/>
      <c r="D95" s="30" t="s">
        <v>296</v>
      </c>
      <c r="E95" s="31" t="s">
        <v>274</v>
      </c>
      <c r="F95" s="31" t="s">
        <v>69</v>
      </c>
      <c r="G95" s="29" t="s">
        <v>42</v>
      </c>
      <c r="H95" s="32" t="s">
        <v>297</v>
      </c>
    </row>
    <row r="96" customFormat="false" ht="15" hidden="false" customHeight="false" outlineLevel="0" collapsed="false">
      <c r="A96" s="29" t="s">
        <v>298</v>
      </c>
      <c r="B96" s="30" t="s">
        <v>217</v>
      </c>
      <c r="C96" s="30" t="s">
        <v>228</v>
      </c>
      <c r="D96" s="30" t="s">
        <v>296</v>
      </c>
      <c r="E96" s="31" t="s">
        <v>274</v>
      </c>
      <c r="F96" s="31" t="s">
        <v>72</v>
      </c>
      <c r="G96" s="29" t="s">
        <v>42</v>
      </c>
      <c r="H96" s="32" t="s">
        <v>299</v>
      </c>
    </row>
    <row r="97" customFormat="false" ht="15" hidden="false" customHeight="false" outlineLevel="0" collapsed="false">
      <c r="A97" s="33" t="s">
        <v>300</v>
      </c>
      <c r="B97" s="34" t="s">
        <v>56</v>
      </c>
      <c r="C97" s="34" t="s">
        <v>301</v>
      </c>
      <c r="D97" s="34" t="s">
        <v>117</v>
      </c>
      <c r="E97" s="35" t="s">
        <v>118</v>
      </c>
      <c r="F97" s="35" t="s">
        <v>80</v>
      </c>
      <c r="G97" s="33" t="s">
        <v>302</v>
      </c>
      <c r="H97" s="36" t="s">
        <v>303</v>
      </c>
    </row>
    <row r="98" customFormat="false" ht="15" hidden="false" customHeight="false" outlineLevel="0" collapsed="false">
      <c r="A98" s="33" t="s">
        <v>304</v>
      </c>
      <c r="B98" s="34" t="s">
        <v>56</v>
      </c>
      <c r="C98" s="34" t="s">
        <v>301</v>
      </c>
      <c r="D98" s="34" t="s">
        <v>117</v>
      </c>
      <c r="E98" s="35" t="s">
        <v>118</v>
      </c>
      <c r="F98" s="35" t="s">
        <v>63</v>
      </c>
      <c r="G98" s="33" t="s">
        <v>302</v>
      </c>
      <c r="H98" s="36" t="s">
        <v>305</v>
      </c>
    </row>
    <row r="99" customFormat="false" ht="15" hidden="false" customHeight="false" outlineLevel="0" collapsed="false">
      <c r="A99" s="33" t="s">
        <v>306</v>
      </c>
      <c r="B99" s="34" t="s">
        <v>56</v>
      </c>
      <c r="C99" s="34" t="s">
        <v>301</v>
      </c>
      <c r="D99" s="34" t="s">
        <v>117</v>
      </c>
      <c r="E99" s="35" t="s">
        <v>118</v>
      </c>
      <c r="F99" s="35" t="s">
        <v>69</v>
      </c>
      <c r="G99" s="33" t="s">
        <v>302</v>
      </c>
      <c r="H99" s="36" t="s">
        <v>307</v>
      </c>
    </row>
    <row r="100" customFormat="false" ht="15" hidden="false" customHeight="false" outlineLevel="0" collapsed="false">
      <c r="A100" s="33" t="s">
        <v>308</v>
      </c>
      <c r="B100" s="34" t="s">
        <v>56</v>
      </c>
      <c r="C100" s="34" t="s">
        <v>309</v>
      </c>
      <c r="D100" s="34" t="s">
        <v>117</v>
      </c>
      <c r="E100" s="35" t="s">
        <v>118</v>
      </c>
      <c r="F100" s="35" t="s">
        <v>72</v>
      </c>
      <c r="G100" s="33" t="s">
        <v>122</v>
      </c>
      <c r="H100" s="36" t="s">
        <v>310</v>
      </c>
    </row>
    <row r="101" customFormat="false" ht="15" hidden="false" customHeight="false" outlineLevel="0" collapsed="false">
      <c r="A101" s="33" t="s">
        <v>311</v>
      </c>
      <c r="B101" s="34" t="s">
        <v>56</v>
      </c>
      <c r="C101" s="34" t="s">
        <v>309</v>
      </c>
      <c r="D101" s="34" t="s">
        <v>117</v>
      </c>
      <c r="E101" s="35" t="s">
        <v>118</v>
      </c>
      <c r="F101" s="35" t="s">
        <v>69</v>
      </c>
      <c r="G101" s="33" t="s">
        <v>122</v>
      </c>
      <c r="H101" s="36" t="s">
        <v>312</v>
      </c>
    </row>
    <row r="102" customFormat="false" ht="15" hidden="false" customHeight="false" outlineLevel="0" collapsed="false">
      <c r="A102" s="33" t="s">
        <v>313</v>
      </c>
      <c r="B102" s="34" t="s">
        <v>56</v>
      </c>
      <c r="C102" s="34" t="s">
        <v>309</v>
      </c>
      <c r="D102" s="34" t="s">
        <v>117</v>
      </c>
      <c r="E102" s="35" t="s">
        <v>118</v>
      </c>
      <c r="F102" s="35" t="s">
        <v>63</v>
      </c>
      <c r="G102" s="33" t="s">
        <v>122</v>
      </c>
      <c r="H102" s="36" t="s">
        <v>314</v>
      </c>
    </row>
    <row r="103" customFormat="false" ht="15" hidden="false" customHeight="false" outlineLevel="0" collapsed="false">
      <c r="A103" s="33" t="s">
        <v>315</v>
      </c>
      <c r="B103" s="34" t="s">
        <v>56</v>
      </c>
      <c r="C103" s="34" t="s">
        <v>309</v>
      </c>
      <c r="D103" s="34" t="s">
        <v>39</v>
      </c>
      <c r="E103" s="35" t="s">
        <v>95</v>
      </c>
      <c r="F103" s="35" t="s">
        <v>60</v>
      </c>
      <c r="G103" s="33" t="s">
        <v>316</v>
      </c>
      <c r="H103" s="36" t="s">
        <v>317</v>
      </c>
    </row>
    <row r="104" customFormat="false" ht="15" hidden="false" customHeight="false" outlineLevel="0" collapsed="false">
      <c r="A104" s="33" t="s">
        <v>318</v>
      </c>
      <c r="B104" s="34" t="s">
        <v>56</v>
      </c>
      <c r="C104" s="34" t="s">
        <v>309</v>
      </c>
      <c r="D104" s="34" t="s">
        <v>39</v>
      </c>
      <c r="E104" s="35" t="s">
        <v>95</v>
      </c>
      <c r="F104" s="35" t="s">
        <v>60</v>
      </c>
      <c r="G104" s="33" t="s">
        <v>319</v>
      </c>
      <c r="H104" s="36" t="s">
        <v>320</v>
      </c>
    </row>
    <row r="105" customFormat="false" ht="15" hidden="false" customHeight="false" outlineLevel="0" collapsed="false">
      <c r="A105" s="33" t="s">
        <v>321</v>
      </c>
      <c r="B105" s="34" t="s">
        <v>56</v>
      </c>
      <c r="C105" s="34" t="s">
        <v>309</v>
      </c>
      <c r="D105" s="34" t="s">
        <v>39</v>
      </c>
      <c r="E105" s="35" t="s">
        <v>95</v>
      </c>
      <c r="F105" s="35" t="s">
        <v>60</v>
      </c>
      <c r="G105" s="33" t="s">
        <v>322</v>
      </c>
      <c r="H105" s="36" t="s">
        <v>323</v>
      </c>
    </row>
    <row r="106" customFormat="false" ht="15" hidden="false" customHeight="false" outlineLevel="0" collapsed="false">
      <c r="A106" s="33" t="s">
        <v>324</v>
      </c>
      <c r="B106" s="34" t="s">
        <v>56</v>
      </c>
      <c r="C106" s="34" t="s">
        <v>309</v>
      </c>
      <c r="D106" s="34" t="s">
        <v>117</v>
      </c>
      <c r="E106" s="35" t="s">
        <v>118</v>
      </c>
      <c r="F106" s="35" t="s">
        <v>69</v>
      </c>
      <c r="G106" s="33" t="s">
        <v>325</v>
      </c>
      <c r="H106" s="36" t="s">
        <v>326</v>
      </c>
    </row>
    <row r="107" customFormat="false" ht="15" hidden="false" customHeight="false" outlineLevel="0" collapsed="false">
      <c r="A107" s="33" t="s">
        <v>327</v>
      </c>
      <c r="B107" s="34" t="s">
        <v>56</v>
      </c>
      <c r="C107" s="34" t="s">
        <v>309</v>
      </c>
      <c r="D107" s="34" t="s">
        <v>117</v>
      </c>
      <c r="E107" s="35" t="s">
        <v>118</v>
      </c>
      <c r="F107" s="35" t="s">
        <v>72</v>
      </c>
      <c r="G107" s="33" t="s">
        <v>325</v>
      </c>
      <c r="H107" s="36" t="s">
        <v>328</v>
      </c>
    </row>
    <row r="108" customFormat="false" ht="15" hidden="false" customHeight="false" outlineLevel="0" collapsed="false">
      <c r="A108" s="33" t="s">
        <v>329</v>
      </c>
      <c r="B108" s="34" t="s">
        <v>56</v>
      </c>
      <c r="C108" s="34" t="s">
        <v>309</v>
      </c>
      <c r="D108" s="34" t="s">
        <v>117</v>
      </c>
      <c r="E108" s="35" t="s">
        <v>118</v>
      </c>
      <c r="F108" s="35" t="s">
        <v>63</v>
      </c>
      <c r="G108" s="33" t="s">
        <v>325</v>
      </c>
      <c r="H108" s="36" t="s">
        <v>330</v>
      </c>
    </row>
    <row r="109" customFormat="false" ht="15" hidden="false" customHeight="false" outlineLevel="0" collapsed="false">
      <c r="A109" s="33" t="s">
        <v>331</v>
      </c>
      <c r="B109" s="34" t="s">
        <v>56</v>
      </c>
      <c r="C109" s="34" t="s">
        <v>309</v>
      </c>
      <c r="D109" s="34" t="s">
        <v>117</v>
      </c>
      <c r="E109" s="35" t="s">
        <v>118</v>
      </c>
      <c r="F109" s="35" t="s">
        <v>66</v>
      </c>
      <c r="G109" s="33" t="s">
        <v>325</v>
      </c>
      <c r="H109" s="36" t="s">
        <v>332</v>
      </c>
    </row>
    <row r="110" customFormat="false" ht="15" hidden="false" customHeight="false" outlineLevel="0" collapsed="false">
      <c r="A110" s="33" t="s">
        <v>333</v>
      </c>
      <c r="B110" s="34" t="s">
        <v>56</v>
      </c>
      <c r="C110" s="34" t="s">
        <v>309</v>
      </c>
      <c r="D110" s="34" t="s">
        <v>39</v>
      </c>
      <c r="E110" s="35" t="s">
        <v>95</v>
      </c>
      <c r="F110" s="35" t="s">
        <v>60</v>
      </c>
      <c r="G110" s="33" t="s">
        <v>334</v>
      </c>
      <c r="H110" s="36" t="s">
        <v>335</v>
      </c>
    </row>
    <row r="111" customFormat="false" ht="15" hidden="false" customHeight="false" outlineLevel="0" collapsed="false">
      <c r="A111" s="33" t="s">
        <v>336</v>
      </c>
      <c r="B111" s="34" t="s">
        <v>56</v>
      </c>
      <c r="C111" s="34" t="s">
        <v>309</v>
      </c>
      <c r="D111" s="34" t="s">
        <v>39</v>
      </c>
      <c r="E111" s="35" t="s">
        <v>95</v>
      </c>
      <c r="F111" s="35" t="s">
        <v>60</v>
      </c>
      <c r="G111" s="33" t="s">
        <v>337</v>
      </c>
      <c r="H111" s="36" t="s">
        <v>338</v>
      </c>
    </row>
    <row r="112" customFormat="false" ht="15" hidden="false" customHeight="false" outlineLevel="0" collapsed="false">
      <c r="A112" s="33" t="s">
        <v>339</v>
      </c>
      <c r="B112" s="34" t="s">
        <v>56</v>
      </c>
      <c r="C112" s="34" t="s">
        <v>309</v>
      </c>
      <c r="D112" s="34" t="s">
        <v>117</v>
      </c>
      <c r="E112" s="35" t="s">
        <v>118</v>
      </c>
      <c r="F112" s="35" t="s">
        <v>63</v>
      </c>
      <c r="G112" s="33" t="s">
        <v>340</v>
      </c>
      <c r="H112" s="36" t="s">
        <v>341</v>
      </c>
    </row>
    <row r="113" customFormat="false" ht="15" hidden="false" customHeight="false" outlineLevel="0" collapsed="false">
      <c r="A113" s="33" t="s">
        <v>342</v>
      </c>
      <c r="B113" s="34" t="s">
        <v>56</v>
      </c>
      <c r="C113" s="34" t="s">
        <v>309</v>
      </c>
      <c r="D113" s="34" t="s">
        <v>117</v>
      </c>
      <c r="E113" s="35" t="s">
        <v>118</v>
      </c>
      <c r="F113" s="35" t="s">
        <v>60</v>
      </c>
      <c r="G113" s="33" t="s">
        <v>343</v>
      </c>
      <c r="H113" s="36" t="s">
        <v>344</v>
      </c>
    </row>
    <row r="114" customFormat="false" ht="15" hidden="false" customHeight="false" outlineLevel="0" collapsed="false">
      <c r="A114" s="33" t="s">
        <v>345</v>
      </c>
      <c r="B114" s="34" t="s">
        <v>56</v>
      </c>
      <c r="C114" s="34" t="s">
        <v>309</v>
      </c>
      <c r="D114" s="34" t="s">
        <v>117</v>
      </c>
      <c r="E114" s="35" t="s">
        <v>118</v>
      </c>
      <c r="F114" s="35" t="s">
        <v>66</v>
      </c>
      <c r="G114" s="33" t="s">
        <v>343</v>
      </c>
      <c r="H114" s="36" t="s">
        <v>346</v>
      </c>
    </row>
    <row r="115" customFormat="false" ht="15" hidden="false" customHeight="false" outlineLevel="0" collapsed="false">
      <c r="A115" s="33" t="s">
        <v>347</v>
      </c>
      <c r="B115" s="34" t="s">
        <v>56</v>
      </c>
      <c r="C115" s="34" t="s">
        <v>309</v>
      </c>
      <c r="D115" s="34" t="s">
        <v>39</v>
      </c>
      <c r="E115" s="35" t="s">
        <v>95</v>
      </c>
      <c r="F115" s="35" t="s">
        <v>66</v>
      </c>
      <c r="G115" s="33" t="s">
        <v>348</v>
      </c>
      <c r="H115" s="36" t="s">
        <v>349</v>
      </c>
    </row>
    <row r="116" customFormat="false" ht="15" hidden="false" customHeight="false" outlineLevel="0" collapsed="false">
      <c r="A116" s="33" t="s">
        <v>350</v>
      </c>
      <c r="B116" s="34" t="s">
        <v>56</v>
      </c>
      <c r="C116" s="34" t="s">
        <v>309</v>
      </c>
      <c r="D116" s="34" t="s">
        <v>39</v>
      </c>
      <c r="E116" s="35" t="s">
        <v>95</v>
      </c>
      <c r="F116" s="35" t="s">
        <v>66</v>
      </c>
      <c r="G116" s="33" t="s">
        <v>351</v>
      </c>
      <c r="H116" s="36" t="s">
        <v>352</v>
      </c>
    </row>
    <row r="117" customFormat="false" ht="15" hidden="false" customHeight="false" outlineLevel="0" collapsed="false">
      <c r="A117" s="33" t="s">
        <v>353</v>
      </c>
      <c r="B117" s="34" t="s">
        <v>56</v>
      </c>
      <c r="C117" s="34" t="s">
        <v>309</v>
      </c>
      <c r="D117" s="34" t="s">
        <v>39</v>
      </c>
      <c r="E117" s="35" t="s">
        <v>95</v>
      </c>
      <c r="F117" s="35" t="s">
        <v>66</v>
      </c>
      <c r="G117" s="33" t="s">
        <v>354</v>
      </c>
      <c r="H117" s="36" t="s">
        <v>355</v>
      </c>
    </row>
    <row r="118" customFormat="false" ht="15" hidden="false" customHeight="false" outlineLevel="0" collapsed="false">
      <c r="A118" s="33" t="s">
        <v>356</v>
      </c>
      <c r="B118" s="34" t="s">
        <v>56</v>
      </c>
      <c r="C118" s="34" t="s">
        <v>357</v>
      </c>
      <c r="D118" s="34" t="s">
        <v>117</v>
      </c>
      <c r="E118" s="35" t="s">
        <v>118</v>
      </c>
      <c r="F118" s="35" t="s">
        <v>60</v>
      </c>
      <c r="G118" s="33" t="s">
        <v>358</v>
      </c>
      <c r="H118" s="36" t="s">
        <v>359</v>
      </c>
    </row>
    <row r="119" customFormat="false" ht="15" hidden="false" customHeight="false" outlineLevel="0" collapsed="false">
      <c r="A119" s="33" t="s">
        <v>360</v>
      </c>
      <c r="B119" s="34" t="s">
        <v>56</v>
      </c>
      <c r="C119" s="34" t="s">
        <v>357</v>
      </c>
      <c r="D119" s="34" t="s">
        <v>39</v>
      </c>
      <c r="E119" s="35" t="s">
        <v>95</v>
      </c>
      <c r="F119" s="35" t="s">
        <v>60</v>
      </c>
      <c r="G119" s="33" t="s">
        <v>361</v>
      </c>
      <c r="H119" s="36" t="s">
        <v>362</v>
      </c>
    </row>
    <row r="120" customFormat="false" ht="15" hidden="false" customHeight="false" outlineLevel="0" collapsed="false">
      <c r="A120" s="33" t="s">
        <v>363</v>
      </c>
      <c r="B120" s="34" t="s">
        <v>56</v>
      </c>
      <c r="C120" s="34" t="s">
        <v>357</v>
      </c>
      <c r="D120" s="34" t="s">
        <v>117</v>
      </c>
      <c r="E120" s="35" t="s">
        <v>118</v>
      </c>
      <c r="F120" s="35" t="s">
        <v>66</v>
      </c>
      <c r="G120" s="33" t="s">
        <v>358</v>
      </c>
      <c r="H120" s="36" t="s">
        <v>364</v>
      </c>
    </row>
    <row r="121" customFormat="false" ht="15" hidden="false" customHeight="false" outlineLevel="0" collapsed="false">
      <c r="A121" s="33" t="s">
        <v>365</v>
      </c>
      <c r="B121" s="34" t="s">
        <v>56</v>
      </c>
      <c r="C121" s="34" t="s">
        <v>357</v>
      </c>
      <c r="D121" s="34" t="s">
        <v>39</v>
      </c>
      <c r="E121" s="35" t="s">
        <v>95</v>
      </c>
      <c r="F121" s="35" t="s">
        <v>66</v>
      </c>
      <c r="G121" s="33" t="s">
        <v>361</v>
      </c>
      <c r="H121" s="36" t="s">
        <v>366</v>
      </c>
    </row>
    <row r="122" customFormat="false" ht="15" hidden="false" customHeight="false" outlineLevel="0" collapsed="false">
      <c r="A122" s="33" t="s">
        <v>367</v>
      </c>
      <c r="B122" s="34" t="s">
        <v>56</v>
      </c>
      <c r="C122" s="34" t="s">
        <v>357</v>
      </c>
      <c r="D122" s="34" t="s">
        <v>117</v>
      </c>
      <c r="E122" s="35" t="s">
        <v>118</v>
      </c>
      <c r="F122" s="35" t="s">
        <v>60</v>
      </c>
      <c r="G122" s="33" t="s">
        <v>368</v>
      </c>
      <c r="H122" s="36" t="s">
        <v>369</v>
      </c>
    </row>
    <row r="123" customFormat="false" ht="15" hidden="false" customHeight="false" outlineLevel="0" collapsed="false">
      <c r="A123" s="33" t="s">
        <v>370</v>
      </c>
      <c r="B123" s="34" t="s">
        <v>56</v>
      </c>
      <c r="C123" s="34" t="s">
        <v>357</v>
      </c>
      <c r="D123" s="34" t="s">
        <v>39</v>
      </c>
      <c r="E123" s="35" t="s">
        <v>95</v>
      </c>
      <c r="F123" s="35" t="s">
        <v>60</v>
      </c>
      <c r="G123" s="33" t="s">
        <v>371</v>
      </c>
      <c r="H123" s="36" t="s">
        <v>372</v>
      </c>
    </row>
    <row r="124" customFormat="false" ht="15" hidden="false" customHeight="false" outlineLevel="0" collapsed="false">
      <c r="A124" s="33" t="s">
        <v>373</v>
      </c>
      <c r="B124" s="34" t="s">
        <v>56</v>
      </c>
      <c r="C124" s="34" t="s">
        <v>357</v>
      </c>
      <c r="D124" s="34" t="s">
        <v>117</v>
      </c>
      <c r="E124" s="35" t="s">
        <v>118</v>
      </c>
      <c r="F124" s="35" t="s">
        <v>60</v>
      </c>
      <c r="G124" s="33" t="s">
        <v>374</v>
      </c>
      <c r="H124" s="36" t="s">
        <v>375</v>
      </c>
    </row>
    <row r="125" customFormat="false" ht="15" hidden="false" customHeight="false" outlineLevel="0" collapsed="false">
      <c r="A125" s="33" t="s">
        <v>376</v>
      </c>
      <c r="B125" s="34" t="s">
        <v>56</v>
      </c>
      <c r="C125" s="34" t="s">
        <v>357</v>
      </c>
      <c r="D125" s="34" t="s">
        <v>39</v>
      </c>
      <c r="E125" s="35" t="s">
        <v>95</v>
      </c>
      <c r="F125" s="35" t="s">
        <v>60</v>
      </c>
      <c r="G125" s="33" t="s">
        <v>377</v>
      </c>
      <c r="H125" s="36" t="s">
        <v>378</v>
      </c>
    </row>
    <row r="126" customFormat="false" ht="15" hidden="false" customHeight="false" outlineLevel="0" collapsed="false">
      <c r="A126" s="33" t="s">
        <v>379</v>
      </c>
      <c r="B126" s="34" t="s">
        <v>380</v>
      </c>
      <c r="C126" s="34" t="s">
        <v>380</v>
      </c>
      <c r="D126" s="34" t="s">
        <v>117</v>
      </c>
      <c r="E126" s="35" t="s">
        <v>118</v>
      </c>
      <c r="F126" s="35" t="s">
        <v>60</v>
      </c>
      <c r="G126" s="33" t="s">
        <v>325</v>
      </c>
      <c r="H126" s="36" t="s">
        <v>381</v>
      </c>
    </row>
    <row r="127" customFormat="false" ht="15" hidden="false" customHeight="false" outlineLevel="0" collapsed="false">
      <c r="A127" s="33" t="s">
        <v>382</v>
      </c>
      <c r="B127" s="34" t="s">
        <v>380</v>
      </c>
      <c r="C127" s="34" t="s">
        <v>380</v>
      </c>
      <c r="D127" s="34" t="s">
        <v>117</v>
      </c>
      <c r="E127" s="35" t="s">
        <v>118</v>
      </c>
      <c r="F127" s="35" t="s">
        <v>100</v>
      </c>
      <c r="G127" s="33" t="s">
        <v>325</v>
      </c>
      <c r="H127" s="36" t="s">
        <v>383</v>
      </c>
    </row>
    <row r="128" customFormat="false" ht="15" hidden="false" customHeight="false" outlineLevel="0" collapsed="false">
      <c r="A128" s="33" t="s">
        <v>384</v>
      </c>
      <c r="B128" s="34" t="s">
        <v>380</v>
      </c>
      <c r="C128" s="34" t="s">
        <v>380</v>
      </c>
      <c r="D128" s="34" t="s">
        <v>117</v>
      </c>
      <c r="E128" s="35" t="s">
        <v>118</v>
      </c>
      <c r="F128" s="35" t="s">
        <v>80</v>
      </c>
      <c r="G128" s="33" t="s">
        <v>325</v>
      </c>
      <c r="H128" s="36" t="s">
        <v>385</v>
      </c>
    </row>
    <row r="129" customFormat="false" ht="15" hidden="false" customHeight="false" outlineLevel="0" collapsed="false">
      <c r="A129" s="37" t="s">
        <v>386</v>
      </c>
      <c r="B129" s="38" t="s">
        <v>387</v>
      </c>
      <c r="C129" s="38"/>
      <c r="D129" s="38" t="s">
        <v>39</v>
      </c>
      <c r="E129" s="39" t="s">
        <v>388</v>
      </c>
      <c r="F129" s="39" t="s">
        <v>80</v>
      </c>
      <c r="G129" s="37" t="s">
        <v>42</v>
      </c>
      <c r="H129" s="40" t="s">
        <v>389</v>
      </c>
    </row>
    <row r="130" customFormat="false" ht="15" hidden="false" customHeight="false" outlineLevel="0" collapsed="false">
      <c r="A130" s="37" t="s">
        <v>390</v>
      </c>
      <c r="B130" s="38" t="s">
        <v>387</v>
      </c>
      <c r="C130" s="38"/>
      <c r="D130" s="38" t="s">
        <v>87</v>
      </c>
      <c r="E130" s="39" t="s">
        <v>391</v>
      </c>
      <c r="F130" s="39" t="s">
        <v>80</v>
      </c>
      <c r="G130" s="37" t="s">
        <v>42</v>
      </c>
      <c r="H130" s="40" t="s">
        <v>392</v>
      </c>
    </row>
    <row r="131" customFormat="false" ht="15" hidden="false" customHeight="false" outlineLevel="0" collapsed="false">
      <c r="A131" s="37" t="s">
        <v>393</v>
      </c>
      <c r="B131" s="38" t="s">
        <v>387</v>
      </c>
      <c r="C131" s="38"/>
      <c r="D131" s="38" t="s">
        <v>394</v>
      </c>
      <c r="E131" s="39" t="s">
        <v>395</v>
      </c>
      <c r="F131" s="39" t="s">
        <v>396</v>
      </c>
      <c r="G131" s="37" t="s">
        <v>397</v>
      </c>
      <c r="H131" s="40" t="s">
        <v>398</v>
      </c>
    </row>
    <row r="132" customFormat="false" ht="15" hidden="false" customHeight="false" outlineLevel="0" collapsed="false">
      <c r="A132" s="37" t="s">
        <v>399</v>
      </c>
      <c r="B132" s="38" t="s">
        <v>387</v>
      </c>
      <c r="C132" s="38"/>
      <c r="D132" s="38" t="s">
        <v>394</v>
      </c>
      <c r="E132" s="39" t="s">
        <v>400</v>
      </c>
      <c r="F132" s="39" t="s">
        <v>396</v>
      </c>
      <c r="G132" s="37" t="s">
        <v>401</v>
      </c>
      <c r="H132" s="40" t="s">
        <v>402</v>
      </c>
    </row>
    <row r="133" customFormat="false" ht="15" hidden="false" customHeight="false" outlineLevel="0" collapsed="false">
      <c r="A133" s="37" t="s">
        <v>403</v>
      </c>
      <c r="B133" s="38" t="s">
        <v>387</v>
      </c>
      <c r="C133" s="38"/>
      <c r="D133" s="38" t="s">
        <v>394</v>
      </c>
      <c r="E133" s="39" t="s">
        <v>404</v>
      </c>
      <c r="F133" s="39" t="s">
        <v>396</v>
      </c>
      <c r="G133" s="37" t="s">
        <v>401</v>
      </c>
      <c r="H133" s="40" t="s">
        <v>405</v>
      </c>
    </row>
    <row r="134" customFormat="false" ht="15" hidden="false" customHeight="false" outlineLevel="0" collapsed="false">
      <c r="A134" s="37" t="s">
        <v>406</v>
      </c>
      <c r="B134" s="38" t="s">
        <v>387</v>
      </c>
      <c r="C134" s="38"/>
      <c r="D134" s="38" t="s">
        <v>394</v>
      </c>
      <c r="E134" s="39" t="s">
        <v>407</v>
      </c>
      <c r="F134" s="39" t="s">
        <v>396</v>
      </c>
      <c r="G134" s="37" t="s">
        <v>401</v>
      </c>
      <c r="H134" s="40" t="s">
        <v>408</v>
      </c>
    </row>
    <row r="135" customFormat="false" ht="15" hidden="false" customHeight="false" outlineLevel="0" collapsed="false">
      <c r="A135" s="37" t="s">
        <v>409</v>
      </c>
      <c r="B135" s="38" t="s">
        <v>387</v>
      </c>
      <c r="C135" s="38"/>
      <c r="D135" s="38" t="s">
        <v>117</v>
      </c>
      <c r="E135" s="39" t="s">
        <v>410</v>
      </c>
      <c r="F135" s="39" t="s">
        <v>396</v>
      </c>
      <c r="G135" s="37" t="s">
        <v>119</v>
      </c>
      <c r="H135" s="40" t="s">
        <v>411</v>
      </c>
    </row>
    <row r="136" customFormat="false" ht="15" hidden="false" customHeight="false" outlineLevel="0" collapsed="false">
      <c r="A136" s="37" t="s">
        <v>412</v>
      </c>
      <c r="B136" s="38" t="s">
        <v>387</v>
      </c>
      <c r="C136" s="38"/>
      <c r="D136" s="38" t="s">
        <v>117</v>
      </c>
      <c r="E136" s="39" t="s">
        <v>410</v>
      </c>
      <c r="F136" s="39" t="s">
        <v>396</v>
      </c>
      <c r="G136" s="37" t="s">
        <v>413</v>
      </c>
      <c r="H136" s="40" t="s">
        <v>414</v>
      </c>
    </row>
    <row r="137" customFormat="false" ht="15" hidden="false" customHeight="false" outlineLevel="0" collapsed="false">
      <c r="A137" s="37" t="s">
        <v>415</v>
      </c>
      <c r="B137" s="38" t="s">
        <v>387</v>
      </c>
      <c r="C137" s="38"/>
      <c r="D137" s="38" t="s">
        <v>117</v>
      </c>
      <c r="E137" s="39" t="s">
        <v>410</v>
      </c>
      <c r="F137" s="39" t="s">
        <v>396</v>
      </c>
      <c r="G137" s="37" t="s">
        <v>416</v>
      </c>
      <c r="H137" s="40" t="s">
        <v>417</v>
      </c>
    </row>
    <row r="138" customFormat="false" ht="15" hidden="false" customHeight="false" outlineLevel="0" collapsed="false">
      <c r="A138" s="37" t="s">
        <v>418</v>
      </c>
      <c r="B138" s="38" t="s">
        <v>387</v>
      </c>
      <c r="C138" s="38"/>
      <c r="D138" s="38" t="s">
        <v>117</v>
      </c>
      <c r="E138" s="39" t="s">
        <v>410</v>
      </c>
      <c r="F138" s="39" t="s">
        <v>396</v>
      </c>
      <c r="G138" s="37" t="s">
        <v>419</v>
      </c>
      <c r="H138" s="40" t="s">
        <v>420</v>
      </c>
    </row>
    <row r="139" customFormat="false" ht="15" hidden="false" customHeight="false" outlineLevel="0" collapsed="false">
      <c r="A139" s="37" t="s">
        <v>421</v>
      </c>
      <c r="B139" s="38" t="s">
        <v>387</v>
      </c>
      <c r="C139" s="38"/>
      <c r="D139" s="38" t="s">
        <v>117</v>
      </c>
      <c r="E139" s="39" t="s">
        <v>410</v>
      </c>
      <c r="F139" s="39" t="s">
        <v>396</v>
      </c>
      <c r="G139" s="37" t="s">
        <v>422</v>
      </c>
      <c r="H139" s="40" t="s">
        <v>423</v>
      </c>
    </row>
    <row r="140" customFormat="false" ht="15" hidden="false" customHeight="false" outlineLevel="0" collapsed="false">
      <c r="A140" s="37" t="s">
        <v>424</v>
      </c>
      <c r="B140" s="38" t="s">
        <v>387</v>
      </c>
      <c r="C140" s="38"/>
      <c r="D140" s="38" t="s">
        <v>117</v>
      </c>
      <c r="E140" s="39" t="s">
        <v>410</v>
      </c>
      <c r="F140" s="39" t="s">
        <v>53</v>
      </c>
      <c r="G140" s="37" t="s">
        <v>302</v>
      </c>
      <c r="H140" s="40" t="s">
        <v>425</v>
      </c>
    </row>
    <row r="141" customFormat="false" ht="15" hidden="false" customHeight="false" outlineLevel="0" collapsed="false">
      <c r="A141" s="37" t="s">
        <v>426</v>
      </c>
      <c r="B141" s="38" t="s">
        <v>387</v>
      </c>
      <c r="C141" s="38"/>
      <c r="D141" s="38" t="s">
        <v>117</v>
      </c>
      <c r="E141" s="39" t="s">
        <v>410</v>
      </c>
      <c r="F141" s="39" t="s">
        <v>60</v>
      </c>
      <c r="G141" s="37" t="s">
        <v>302</v>
      </c>
      <c r="H141" s="40" t="s">
        <v>427</v>
      </c>
    </row>
    <row r="142" customFormat="false" ht="15" hidden="false" customHeight="false" outlineLevel="0" collapsed="false">
      <c r="A142" s="37" t="s">
        <v>428</v>
      </c>
      <c r="B142" s="38" t="s">
        <v>387</v>
      </c>
      <c r="C142" s="38"/>
      <c r="D142" s="38" t="s">
        <v>117</v>
      </c>
      <c r="E142" s="39" t="s">
        <v>410</v>
      </c>
      <c r="F142" s="39" t="s">
        <v>80</v>
      </c>
      <c r="G142" s="37" t="s">
        <v>302</v>
      </c>
      <c r="H142" s="40" t="s">
        <v>429</v>
      </c>
    </row>
    <row r="143" customFormat="false" ht="15" hidden="false" customHeight="false" outlineLevel="0" collapsed="false">
      <c r="A143" s="37" t="s">
        <v>430</v>
      </c>
      <c r="B143" s="38" t="s">
        <v>387</v>
      </c>
      <c r="C143" s="38"/>
      <c r="D143" s="38" t="s">
        <v>117</v>
      </c>
      <c r="E143" s="39" t="s">
        <v>410</v>
      </c>
      <c r="F143" s="39" t="s">
        <v>53</v>
      </c>
      <c r="G143" s="37" t="s">
        <v>374</v>
      </c>
      <c r="H143" s="40" t="s">
        <v>431</v>
      </c>
    </row>
    <row r="144" customFormat="false" ht="15" hidden="false" customHeight="false" outlineLevel="0" collapsed="false">
      <c r="A144" s="37" t="s">
        <v>432</v>
      </c>
      <c r="B144" s="38" t="s">
        <v>387</v>
      </c>
      <c r="C144" s="38"/>
      <c r="D144" s="38" t="s">
        <v>117</v>
      </c>
      <c r="E144" s="39" t="s">
        <v>410</v>
      </c>
      <c r="F144" s="39" t="s">
        <v>60</v>
      </c>
      <c r="G144" s="37" t="s">
        <v>374</v>
      </c>
      <c r="H144" s="40" t="s">
        <v>433</v>
      </c>
    </row>
    <row r="145" customFormat="false" ht="15" hidden="false" customHeight="false" outlineLevel="0" collapsed="false">
      <c r="A145" s="37" t="s">
        <v>434</v>
      </c>
      <c r="B145" s="38" t="s">
        <v>387</v>
      </c>
      <c r="C145" s="38"/>
      <c r="D145" s="38" t="s">
        <v>117</v>
      </c>
      <c r="E145" s="39" t="s">
        <v>410</v>
      </c>
      <c r="F145" s="39" t="s">
        <v>396</v>
      </c>
      <c r="G145" s="37" t="s">
        <v>435</v>
      </c>
      <c r="H145" s="40" t="s">
        <v>436</v>
      </c>
    </row>
    <row r="146" customFormat="false" ht="15" hidden="false" customHeight="false" outlineLevel="0" collapsed="false">
      <c r="A146" s="37" t="s">
        <v>437</v>
      </c>
      <c r="B146" s="38" t="s">
        <v>387</v>
      </c>
      <c r="C146" s="38"/>
      <c r="D146" s="38" t="s">
        <v>117</v>
      </c>
      <c r="E146" s="39" t="s">
        <v>410</v>
      </c>
      <c r="F146" s="39" t="s">
        <v>396</v>
      </c>
      <c r="G146" s="37" t="s">
        <v>438</v>
      </c>
      <c r="H146" s="40" t="s">
        <v>439</v>
      </c>
    </row>
    <row r="147" customFormat="false" ht="15" hidden="false" customHeight="false" outlineLevel="0" collapsed="false">
      <c r="A147" s="37" t="s">
        <v>440</v>
      </c>
      <c r="B147" s="38" t="s">
        <v>387</v>
      </c>
      <c r="C147" s="38"/>
      <c r="D147" s="38" t="s">
        <v>117</v>
      </c>
      <c r="E147" s="39" t="s">
        <v>410</v>
      </c>
      <c r="F147" s="39" t="s">
        <v>53</v>
      </c>
      <c r="G147" s="37" t="s">
        <v>441</v>
      </c>
      <c r="H147" s="40" t="s">
        <v>442</v>
      </c>
    </row>
    <row r="148" customFormat="false" ht="15" hidden="false" customHeight="false" outlineLevel="0" collapsed="false">
      <c r="A148" s="37" t="s">
        <v>443</v>
      </c>
      <c r="B148" s="38" t="s">
        <v>387</v>
      </c>
      <c r="C148" s="38"/>
      <c r="D148" s="38" t="s">
        <v>117</v>
      </c>
      <c r="E148" s="39" t="s">
        <v>410</v>
      </c>
      <c r="F148" s="39" t="s">
        <v>80</v>
      </c>
      <c r="G148" s="37" t="s">
        <v>444</v>
      </c>
      <c r="H148" s="40" t="s">
        <v>445</v>
      </c>
    </row>
    <row r="149" customFormat="false" ht="15" hidden="false" customHeight="false" outlineLevel="0" collapsed="false">
      <c r="A149" s="37" t="s">
        <v>446</v>
      </c>
      <c r="B149" s="38" t="s">
        <v>387</v>
      </c>
      <c r="C149" s="38"/>
      <c r="D149" s="38" t="s">
        <v>117</v>
      </c>
      <c r="E149" s="39" t="s">
        <v>410</v>
      </c>
      <c r="F149" s="39" t="s">
        <v>60</v>
      </c>
      <c r="G149" s="37" t="s">
        <v>444</v>
      </c>
      <c r="H149" s="40" t="s">
        <v>447</v>
      </c>
    </row>
    <row r="150" customFormat="false" ht="15" hidden="false" customHeight="false" outlineLevel="0" collapsed="false">
      <c r="A150" s="37" t="s">
        <v>448</v>
      </c>
      <c r="B150" s="38" t="s">
        <v>387</v>
      </c>
      <c r="C150" s="38"/>
      <c r="D150" s="38" t="s">
        <v>117</v>
      </c>
      <c r="E150" s="39" t="s">
        <v>410</v>
      </c>
      <c r="F150" s="39" t="s">
        <v>53</v>
      </c>
      <c r="G150" s="37" t="s">
        <v>444</v>
      </c>
      <c r="H150" s="40" t="s">
        <v>449</v>
      </c>
    </row>
    <row r="151" customFormat="false" ht="15" hidden="false" customHeight="false" outlineLevel="0" collapsed="false">
      <c r="A151" s="37" t="s">
        <v>450</v>
      </c>
      <c r="B151" s="38" t="s">
        <v>387</v>
      </c>
      <c r="C151" s="38"/>
      <c r="D151" s="38" t="s">
        <v>117</v>
      </c>
      <c r="E151" s="39" t="s">
        <v>410</v>
      </c>
      <c r="F151" s="39" t="s">
        <v>60</v>
      </c>
      <c r="G151" s="37" t="s">
        <v>441</v>
      </c>
      <c r="H151" s="40" t="s">
        <v>451</v>
      </c>
    </row>
    <row r="152" customFormat="false" ht="15" hidden="false" customHeight="false" outlineLevel="0" collapsed="false">
      <c r="A152" s="37" t="s">
        <v>452</v>
      </c>
      <c r="B152" s="38" t="s">
        <v>387</v>
      </c>
      <c r="C152" s="38"/>
      <c r="D152" s="38" t="s">
        <v>117</v>
      </c>
      <c r="E152" s="39" t="s">
        <v>410</v>
      </c>
      <c r="F152" s="39" t="s">
        <v>396</v>
      </c>
      <c r="G152" s="37" t="s">
        <v>453</v>
      </c>
      <c r="H152" s="40" t="s">
        <v>454</v>
      </c>
    </row>
    <row r="153" customFormat="false" ht="15" hidden="false" customHeight="false" outlineLevel="0" collapsed="false">
      <c r="A153" s="37" t="s">
        <v>455</v>
      </c>
      <c r="B153" s="38" t="s">
        <v>387</v>
      </c>
      <c r="C153" s="38"/>
      <c r="D153" s="38" t="s">
        <v>117</v>
      </c>
      <c r="E153" s="39" t="s">
        <v>410</v>
      </c>
      <c r="F153" s="39" t="s">
        <v>396</v>
      </c>
      <c r="G153" s="37" t="s">
        <v>456</v>
      </c>
      <c r="H153" s="40" t="s">
        <v>457</v>
      </c>
    </row>
    <row r="154" customFormat="false" ht="15" hidden="false" customHeight="false" outlineLevel="0" collapsed="false">
      <c r="A154" s="37" t="s">
        <v>458</v>
      </c>
      <c r="B154" s="38" t="s">
        <v>387</v>
      </c>
      <c r="C154" s="38"/>
      <c r="D154" s="38" t="s">
        <v>117</v>
      </c>
      <c r="E154" s="39" t="s">
        <v>410</v>
      </c>
      <c r="F154" s="39" t="s">
        <v>53</v>
      </c>
      <c r="G154" s="37" t="s">
        <v>459</v>
      </c>
      <c r="H154" s="40" t="s">
        <v>460</v>
      </c>
    </row>
  </sheetData>
  <autoFilter ref="A1:H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51" zoomScaleNormal="151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36"/>
  </cols>
  <sheetData>
    <row r="1" customFormat="false" ht="18.55" hidden="false" customHeight="false" outlineLevel="0" collapsed="false">
      <c r="A1" s="2" t="s">
        <v>461</v>
      </c>
      <c r="B1" s="2"/>
      <c r="C1" s="2"/>
      <c r="D1" s="2"/>
    </row>
    <row r="3" customFormat="false" ht="15" hidden="false" customHeight="false" outlineLevel="0" collapsed="false">
      <c r="A3" s="11" t="s">
        <v>462</v>
      </c>
      <c r="B3" s="11"/>
      <c r="C3" s="11"/>
      <c r="D3" s="11"/>
    </row>
    <row r="4" customFormat="false" ht="15" hidden="false" customHeight="false" outlineLevel="0" collapsed="false">
      <c r="A4" s="3" t="s">
        <v>463</v>
      </c>
      <c r="B4" s="3" t="s">
        <v>35</v>
      </c>
      <c r="C4" s="3" t="s">
        <v>464</v>
      </c>
      <c r="D4" s="3" t="s">
        <v>465</v>
      </c>
    </row>
    <row r="5" customFormat="false" ht="15" hidden="false" customHeight="false" outlineLevel="0" collapsed="false">
      <c r="A5" s="41" t="s">
        <v>466</v>
      </c>
      <c r="B5" s="42" t="s">
        <v>53</v>
      </c>
      <c r="C5" s="41" t="s">
        <v>467</v>
      </c>
      <c r="D5" s="41" t="s">
        <v>468</v>
      </c>
    </row>
    <row r="6" customFormat="false" ht="15" hidden="false" customHeight="false" outlineLevel="0" collapsed="false">
      <c r="A6" s="41" t="s">
        <v>469</v>
      </c>
      <c r="B6" s="42" t="s">
        <v>60</v>
      </c>
      <c r="C6" s="41" t="s">
        <v>470</v>
      </c>
      <c r="D6" s="41" t="s">
        <v>471</v>
      </c>
    </row>
    <row r="7" customFormat="false" ht="15" hidden="false" customHeight="false" outlineLevel="0" collapsed="false">
      <c r="A7" s="41" t="s">
        <v>472</v>
      </c>
      <c r="B7" s="42" t="s">
        <v>80</v>
      </c>
      <c r="C7" s="41" t="s">
        <v>473</v>
      </c>
      <c r="D7" s="41" t="s">
        <v>474</v>
      </c>
    </row>
    <row r="8" customFormat="false" ht="15" hidden="false" customHeight="false" outlineLevel="0" collapsed="false">
      <c r="A8" s="41" t="s">
        <v>475</v>
      </c>
      <c r="B8" s="42" t="s">
        <v>100</v>
      </c>
      <c r="C8" s="41" t="s">
        <v>476</v>
      </c>
      <c r="D8" s="41" t="s">
        <v>477</v>
      </c>
    </row>
    <row r="9" customFormat="false" ht="15" hidden="false" customHeight="false" outlineLevel="0" collapsed="false">
      <c r="A9" s="41" t="s">
        <v>478</v>
      </c>
      <c r="B9" s="42" t="s">
        <v>63</v>
      </c>
      <c r="C9" s="41" t="s">
        <v>479</v>
      </c>
      <c r="D9" s="41" t="s">
        <v>480</v>
      </c>
    </row>
    <row r="10" customFormat="false" ht="15" hidden="false" customHeight="false" outlineLevel="0" collapsed="false">
      <c r="A10" s="41" t="s">
        <v>481</v>
      </c>
      <c r="B10" s="42" t="s">
        <v>66</v>
      </c>
      <c r="C10" s="41" t="s">
        <v>482</v>
      </c>
      <c r="D10" s="41" t="s">
        <v>483</v>
      </c>
    </row>
    <row r="11" customFormat="false" ht="15" hidden="false" customHeight="false" outlineLevel="0" collapsed="false">
      <c r="A11" s="41" t="s">
        <v>484</v>
      </c>
      <c r="B11" s="42" t="s">
        <v>69</v>
      </c>
      <c r="C11" s="41" t="s">
        <v>485</v>
      </c>
      <c r="D11" s="41" t="s">
        <v>486</v>
      </c>
    </row>
    <row r="12" customFormat="false" ht="15" hidden="false" customHeight="false" outlineLevel="0" collapsed="false">
      <c r="A12" s="41" t="s">
        <v>487</v>
      </c>
      <c r="B12" s="42" t="s">
        <v>72</v>
      </c>
      <c r="C12" s="41" t="s">
        <v>488</v>
      </c>
      <c r="D12" s="41" t="s">
        <v>489</v>
      </c>
    </row>
    <row r="14" customFormat="false" ht="15" hidden="false" customHeight="false" outlineLevel="0" collapsed="false">
      <c r="A14" s="11" t="s">
        <v>490</v>
      </c>
      <c r="B14" s="11"/>
      <c r="C14" s="11"/>
      <c r="D14" s="11"/>
    </row>
    <row r="15" customFormat="false" ht="15" hidden="false" customHeight="false" outlineLevel="0" collapsed="false">
      <c r="A15" s="3" t="s">
        <v>491</v>
      </c>
      <c r="B15" s="3" t="s">
        <v>42</v>
      </c>
      <c r="C15" s="3" t="s">
        <v>492</v>
      </c>
      <c r="D15" s="3" t="s">
        <v>464</v>
      </c>
    </row>
    <row r="16" customFormat="false" ht="15" hidden="false" customHeight="false" outlineLevel="0" collapsed="false">
      <c r="A16" s="41" t="s">
        <v>493</v>
      </c>
      <c r="B16" s="5"/>
      <c r="C16" s="43" t="s">
        <v>494</v>
      </c>
      <c r="D16" s="41" t="s">
        <v>495</v>
      </c>
    </row>
    <row r="17" customFormat="false" ht="15" hidden="false" customHeight="false" outlineLevel="0" collapsed="false">
      <c r="A17" s="41" t="s">
        <v>496</v>
      </c>
      <c r="B17" s="5"/>
      <c r="C17" s="43" t="s">
        <v>497</v>
      </c>
      <c r="D17" s="41" t="s">
        <v>498</v>
      </c>
    </row>
    <row r="18" customFormat="false" ht="15" hidden="false" customHeight="false" outlineLevel="0" collapsed="false">
      <c r="A18" s="41" t="s">
        <v>499</v>
      </c>
      <c r="B18" s="5"/>
      <c r="C18" s="43" t="s">
        <v>500</v>
      </c>
      <c r="D18" s="41" t="s">
        <v>501</v>
      </c>
    </row>
    <row r="20" customFormat="false" ht="15" hidden="false" customHeight="false" outlineLevel="0" collapsed="false">
      <c r="A20" s="11" t="s">
        <v>502</v>
      </c>
      <c r="B20" s="11"/>
      <c r="C20" s="11"/>
      <c r="D20" s="11"/>
    </row>
    <row r="21" customFormat="false" ht="15" hidden="false" customHeight="false" outlineLevel="0" collapsed="false">
      <c r="A21" s="12" t="s">
        <v>503</v>
      </c>
      <c r="B21" s="12"/>
      <c r="C21" s="12"/>
      <c r="D21" s="12"/>
    </row>
    <row r="22" customFormat="false" ht="15" hidden="false" customHeight="false" outlineLevel="0" collapsed="false">
      <c r="A22" s="3" t="s">
        <v>504</v>
      </c>
      <c r="B22" s="3" t="s">
        <v>505</v>
      </c>
      <c r="C22" s="3" t="s">
        <v>506</v>
      </c>
      <c r="D22" s="3" t="s">
        <v>3</v>
      </c>
    </row>
    <row r="23" customFormat="false" ht="15" hidden="false" customHeight="false" outlineLevel="0" collapsed="false">
      <c r="A23" s="41" t="s">
        <v>219</v>
      </c>
      <c r="B23" s="5" t="s">
        <v>507</v>
      </c>
      <c r="C23" s="41" t="s">
        <v>508</v>
      </c>
      <c r="D23" s="41" t="s">
        <v>509</v>
      </c>
    </row>
    <row r="24" customFormat="false" ht="15" hidden="false" customHeight="false" outlineLevel="0" collapsed="false">
      <c r="A24" s="41" t="s">
        <v>274</v>
      </c>
      <c r="B24" s="5" t="s">
        <v>510</v>
      </c>
      <c r="C24" s="41" t="s">
        <v>511</v>
      </c>
      <c r="D24" s="41" t="s">
        <v>512</v>
      </c>
    </row>
    <row r="25" customFormat="false" ht="15" hidden="false" customHeight="false" outlineLevel="0" collapsed="false">
      <c r="A25" s="41" t="s">
        <v>234</v>
      </c>
      <c r="B25" s="5" t="s">
        <v>510</v>
      </c>
      <c r="C25" s="41" t="s">
        <v>513</v>
      </c>
      <c r="D25" s="41" t="s">
        <v>514</v>
      </c>
    </row>
    <row r="26" customFormat="false" ht="15" hidden="false" customHeight="false" outlineLevel="0" collapsed="false">
      <c r="A26" s="41" t="s">
        <v>515</v>
      </c>
      <c r="B26" s="5" t="s">
        <v>510</v>
      </c>
      <c r="C26" s="41" t="s">
        <v>516</v>
      </c>
      <c r="D26" s="41" t="s">
        <v>517</v>
      </c>
    </row>
    <row r="27" customFormat="false" ht="15" hidden="false" customHeight="false" outlineLevel="0" collapsed="false">
      <c r="A27" s="12" t="s">
        <v>518</v>
      </c>
      <c r="B27" s="12"/>
      <c r="C27" s="12"/>
      <c r="D27" s="12"/>
    </row>
    <row r="29" customFormat="false" ht="15" hidden="false" customHeight="false" outlineLevel="0" collapsed="false">
      <c r="A29" s="11" t="s">
        <v>519</v>
      </c>
      <c r="B29" s="11"/>
      <c r="C29" s="11"/>
      <c r="D29" s="11"/>
    </row>
    <row r="30" customFormat="false" ht="15" hidden="false" customHeight="false" outlineLevel="0" collapsed="false">
      <c r="A30" s="3" t="s">
        <v>463</v>
      </c>
      <c r="B30" s="3" t="s">
        <v>520</v>
      </c>
      <c r="C30" s="3" t="s">
        <v>521</v>
      </c>
      <c r="D30" s="3" t="s">
        <v>42</v>
      </c>
    </row>
    <row r="31" customFormat="false" ht="15" hidden="false" customHeight="false" outlineLevel="0" collapsed="false">
      <c r="A31" s="41" t="s">
        <v>522</v>
      </c>
      <c r="B31" s="5" t="s">
        <v>523</v>
      </c>
      <c r="C31" s="41" t="s">
        <v>524</v>
      </c>
      <c r="D31" s="41"/>
    </row>
    <row r="32" customFormat="false" ht="15" hidden="false" customHeight="false" outlineLevel="0" collapsed="false">
      <c r="A32" s="41" t="s">
        <v>525</v>
      </c>
      <c r="B32" s="5" t="s">
        <v>526</v>
      </c>
      <c r="C32" s="41" t="s">
        <v>527</v>
      </c>
      <c r="D32" s="41"/>
    </row>
    <row r="33" customFormat="false" ht="15" hidden="false" customHeight="false" outlineLevel="0" collapsed="false">
      <c r="A33" s="41" t="s">
        <v>528</v>
      </c>
      <c r="B33" s="5" t="s">
        <v>529</v>
      </c>
      <c r="C33" s="41" t="s">
        <v>530</v>
      </c>
      <c r="D33" s="41"/>
    </row>
    <row r="34" customFormat="false" ht="15" hidden="false" customHeight="false" outlineLevel="0" collapsed="false">
      <c r="A34" s="41" t="s">
        <v>531</v>
      </c>
      <c r="B34" s="5" t="s">
        <v>532</v>
      </c>
      <c r="C34" s="41" t="s">
        <v>533</v>
      </c>
      <c r="D34" s="41"/>
    </row>
    <row r="35" customFormat="false" ht="15" hidden="false" customHeight="false" outlineLevel="0" collapsed="false">
      <c r="A35" s="41" t="s">
        <v>534</v>
      </c>
      <c r="B35" s="5" t="s">
        <v>535</v>
      </c>
      <c r="C35" s="41" t="s">
        <v>536</v>
      </c>
      <c r="D35" s="41"/>
    </row>
    <row r="36" customFormat="false" ht="15" hidden="false" customHeight="false" outlineLevel="0" collapsed="false">
      <c r="A36" s="41" t="s">
        <v>537</v>
      </c>
      <c r="B36" s="5" t="s">
        <v>535</v>
      </c>
      <c r="C36" s="41" t="s">
        <v>538</v>
      </c>
      <c r="D36" s="41"/>
    </row>
    <row r="37" customFormat="false" ht="15" hidden="false" customHeight="false" outlineLevel="0" collapsed="false">
      <c r="A37" s="41" t="s">
        <v>539</v>
      </c>
      <c r="B37" s="5" t="s">
        <v>532</v>
      </c>
      <c r="C37" s="41" t="s">
        <v>540</v>
      </c>
      <c r="D37" s="41"/>
    </row>
    <row r="38" customFormat="false" ht="15" hidden="false" customHeight="false" outlineLevel="0" collapsed="false">
      <c r="A38" s="41" t="s">
        <v>541</v>
      </c>
      <c r="B38" s="5" t="s">
        <v>542</v>
      </c>
      <c r="C38" s="41" t="s">
        <v>543</v>
      </c>
      <c r="D38" s="41"/>
    </row>
    <row r="39" customFormat="false" ht="15" hidden="false" customHeight="false" outlineLevel="0" collapsed="false">
      <c r="A39" s="41" t="s">
        <v>544</v>
      </c>
      <c r="B39" s="5" t="s">
        <v>545</v>
      </c>
      <c r="C39" s="41" t="s">
        <v>546</v>
      </c>
      <c r="D39" s="41"/>
    </row>
    <row r="40" customFormat="false" ht="15" hidden="false" customHeight="false" outlineLevel="0" collapsed="false">
      <c r="A40" s="44" t="s">
        <v>547</v>
      </c>
      <c r="B40" s="44"/>
      <c r="C40" s="44"/>
      <c r="D40" s="44"/>
    </row>
  </sheetData>
  <mergeCells count="8">
    <mergeCell ref="A1:D1"/>
    <mergeCell ref="A3:D3"/>
    <mergeCell ref="A14:D14"/>
    <mergeCell ref="A20:D20"/>
    <mergeCell ref="A21:D21"/>
    <mergeCell ref="A27:D27"/>
    <mergeCell ref="A29:D2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2026-07-12T15:35:05Z</dcterms:created>
  <dc:creator>openpyxl</dc:creator>
  <dc:description/>
  <dc:language>en-US</dc:language>
  <cp:lastModifiedBy/>
  <dcterms:modified xsi:type="dcterms:W3CDTF">2026-07-12T18:56:31Z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